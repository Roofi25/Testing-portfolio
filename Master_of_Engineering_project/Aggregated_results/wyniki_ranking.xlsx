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Prace_dyplomowe_studia\Praca_Magisterska\Wyniki\"/>
    </mc:Choice>
  </mc:AlternateContent>
  <xr:revisionPtr revIDLastSave="0" documentId="13_ncr:1_{0E28E219-0784-4D06-AFB8-A5B373906F10}" xr6:coauthVersionLast="47" xr6:coauthVersionMax="47" xr10:uidLastSave="{00000000-0000-0000-0000-000000000000}"/>
  <bookViews>
    <workbookView xWindow="-108" yWindow="-108" windowWidth="23256" windowHeight="12456" activeTab="9" xr2:uid="{00000000-000D-0000-FFFF-FFFF00000000}"/>
  </bookViews>
  <sheets>
    <sheet name="Obc." sheetId="1" r:id="rId1"/>
    <sheet name="Skok." sheetId="2" r:id="rId2"/>
    <sheet name="Alg." sheetId="3" r:id="rId3"/>
    <sheet name="Alg. odch." sheetId="4" r:id="rId4"/>
    <sheet name="Bazy" sheetId="8" r:id="rId5"/>
    <sheet name="Bazy odch." sheetId="9" r:id="rId6"/>
    <sheet name="Lok." sheetId="5" r:id="rId7"/>
    <sheet name="Lok. odch." sheetId="10" r:id="rId8"/>
    <sheet name="Komfort pracy" sheetId="6" r:id="rId9"/>
    <sheet name="Zbiorcza" sheetId="7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" i="6" l="1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3" i="6"/>
  <c r="L3" i="6" s="1"/>
  <c r="J3" i="6"/>
  <c r="K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3" i="6"/>
  <c r="L10" i="6"/>
  <c r="Y7" i="5"/>
  <c r="Y8" i="5"/>
  <c r="Y9" i="5"/>
  <c r="Y10" i="5"/>
  <c r="Y11" i="5"/>
  <c r="Y12" i="5"/>
  <c r="Y13" i="5"/>
  <c r="Y14" i="5"/>
  <c r="Y15" i="5"/>
  <c r="Y16" i="5"/>
  <c r="Y17" i="5"/>
  <c r="Y18" i="5"/>
  <c r="Y6" i="5"/>
  <c r="X13" i="5"/>
  <c r="X7" i="5"/>
  <c r="X8" i="5"/>
  <c r="X9" i="5"/>
  <c r="X10" i="5"/>
  <c r="X11" i="5"/>
  <c r="X12" i="5"/>
  <c r="X14" i="5"/>
  <c r="X15" i="5"/>
  <c r="X16" i="5"/>
  <c r="X17" i="5"/>
  <c r="X18" i="5"/>
  <c r="X6" i="5"/>
  <c r="W7" i="5"/>
  <c r="W8" i="5"/>
  <c r="W9" i="5"/>
  <c r="W10" i="5"/>
  <c r="W11" i="5"/>
  <c r="W12" i="5"/>
  <c r="W14" i="5"/>
  <c r="W15" i="5"/>
  <c r="W16" i="5"/>
  <c r="W17" i="5"/>
  <c r="W18" i="5"/>
  <c r="V7" i="5"/>
  <c r="V8" i="5"/>
  <c r="V9" i="5"/>
  <c r="V10" i="5"/>
  <c r="V11" i="5"/>
  <c r="V12" i="5"/>
  <c r="V13" i="5"/>
  <c r="V14" i="5"/>
  <c r="V15" i="5"/>
  <c r="V16" i="5"/>
  <c r="V17" i="5"/>
  <c r="V18" i="5"/>
  <c r="U7" i="5"/>
  <c r="U8" i="5"/>
  <c r="U9" i="5"/>
  <c r="U10" i="5"/>
  <c r="U11" i="5"/>
  <c r="U12" i="5"/>
  <c r="U13" i="5"/>
  <c r="U14" i="5"/>
  <c r="U15" i="5"/>
  <c r="U16" i="5"/>
  <c r="U17" i="5"/>
  <c r="U18" i="5"/>
  <c r="T7" i="5"/>
  <c r="T8" i="5"/>
  <c r="T9" i="5"/>
  <c r="T10" i="5"/>
  <c r="T11" i="5"/>
  <c r="T12" i="5"/>
  <c r="T13" i="5"/>
  <c r="T14" i="5"/>
  <c r="T15" i="5"/>
  <c r="T16" i="5"/>
  <c r="T17" i="5"/>
  <c r="T18" i="5"/>
  <c r="S7" i="5"/>
  <c r="S8" i="5"/>
  <c r="S9" i="5"/>
  <c r="S10" i="5"/>
  <c r="S11" i="5"/>
  <c r="S12" i="5"/>
  <c r="S13" i="5"/>
  <c r="S14" i="5"/>
  <c r="S15" i="5"/>
  <c r="S16" i="5"/>
  <c r="S17" i="5"/>
  <c r="S18" i="5"/>
  <c r="R7" i="5"/>
  <c r="R8" i="5"/>
  <c r="R9" i="5"/>
  <c r="R10" i="5"/>
  <c r="R11" i="5"/>
  <c r="R12" i="5"/>
  <c r="R13" i="5"/>
  <c r="R14" i="5"/>
  <c r="R15" i="5"/>
  <c r="R16" i="5"/>
  <c r="R17" i="5"/>
  <c r="R18" i="5"/>
  <c r="Q7" i="5"/>
  <c r="Q8" i="5"/>
  <c r="Q9" i="5"/>
  <c r="Q10" i="5"/>
  <c r="Q11" i="5"/>
  <c r="Q12" i="5"/>
  <c r="Q13" i="5"/>
  <c r="Q14" i="5"/>
  <c r="Q15" i="5"/>
  <c r="Q16" i="5"/>
  <c r="Q17" i="5"/>
  <c r="Q18" i="5"/>
  <c r="P7" i="5"/>
  <c r="P8" i="5"/>
  <c r="P9" i="5"/>
  <c r="P10" i="5"/>
  <c r="P11" i="5"/>
  <c r="P12" i="5"/>
  <c r="P13" i="5"/>
  <c r="P14" i="5"/>
  <c r="P15" i="5"/>
  <c r="P16" i="5"/>
  <c r="P17" i="5"/>
  <c r="P18" i="5"/>
  <c r="O7" i="5"/>
  <c r="O8" i="5"/>
  <c r="O9" i="5"/>
  <c r="O10" i="5"/>
  <c r="O11" i="5"/>
  <c r="O12" i="5"/>
  <c r="O13" i="5"/>
  <c r="O14" i="5"/>
  <c r="O15" i="5"/>
  <c r="O16" i="5"/>
  <c r="O17" i="5"/>
  <c r="O18" i="5"/>
  <c r="W6" i="5"/>
  <c r="O6" i="5"/>
  <c r="P6" i="5"/>
  <c r="Q6" i="5"/>
  <c r="R6" i="5"/>
  <c r="S6" i="5"/>
  <c r="T6" i="5"/>
  <c r="U6" i="5"/>
  <c r="V6" i="5"/>
  <c r="N7" i="5"/>
  <c r="N8" i="5"/>
  <c r="N9" i="5"/>
  <c r="N10" i="5"/>
  <c r="N11" i="5"/>
  <c r="N12" i="5"/>
  <c r="N13" i="5"/>
  <c r="N14" i="5"/>
  <c r="N15" i="5"/>
  <c r="N16" i="5"/>
  <c r="N17" i="5"/>
  <c r="N18" i="5"/>
  <c r="N6" i="5"/>
  <c r="B5" i="7" a="1"/>
  <c r="I5" i="7" a="1"/>
  <c r="G4" i="7" a="1"/>
  <c r="E6" i="7" a="1"/>
  <c r="H15" i="7" a="1"/>
  <c r="C9" i="7" a="1"/>
  <c r="F9" i="7" a="1"/>
  <c r="H4" i="7" a="1"/>
  <c r="F3" i="7" a="1"/>
  <c r="C5" i="7" a="1"/>
  <c r="G5" i="7" a="1"/>
  <c r="C8" i="7" a="1"/>
  <c r="F16" i="7" a="1"/>
  <c r="G10" i="7" a="1"/>
  <c r="F4" i="7" a="1"/>
  <c r="G16" i="7" a="1"/>
  <c r="B3" i="7" a="1"/>
  <c r="F6" i="7" a="1"/>
  <c r="G11" i="7" a="1"/>
  <c r="F8" i="7" a="1"/>
  <c r="E18" i="7" a="1"/>
  <c r="E9" i="7" a="1"/>
  <c r="G3" i="7" a="1"/>
  <c r="D10" i="7" a="1"/>
  <c r="B9" i="7" a="1"/>
  <c r="C11" i="7" a="1"/>
  <c r="C7" i="7" a="1"/>
  <c r="D13" i="7" a="1"/>
  <c r="B4" i="7" a="1"/>
  <c r="E8" i="7" a="1"/>
  <c r="D7" i="7" a="1"/>
  <c r="D15" i="7" a="1"/>
  <c r="H16" i="7" a="1"/>
  <c r="E13" i="7" a="1"/>
  <c r="I9" i="7" a="1"/>
  <c r="D17" i="7" a="1"/>
  <c r="F7" i="7" a="1"/>
  <c r="I6" i="7" a="1"/>
  <c r="D4" i="7" a="1"/>
  <c r="E5" i="7" a="1"/>
  <c r="F17" i="7" a="1"/>
  <c r="B14" i="7" a="1"/>
  <c r="I11" i="7" a="1"/>
  <c r="E3" i="7" a="1"/>
  <c r="H6" i="7" a="1"/>
  <c r="F11" i="7" a="1"/>
  <c r="C10" i="7" a="1"/>
  <c r="I13" i="7" a="1"/>
  <c r="E14" i="7" a="1"/>
  <c r="C4" i="7" a="1"/>
  <c r="B12" i="7" a="1"/>
  <c r="E7" i="7" a="1"/>
  <c r="H17" i="7" a="1"/>
  <c r="G14" i="7" a="1"/>
  <c r="F18" i="7" a="1"/>
  <c r="G12" i="7" a="1"/>
  <c r="H7" i="7" a="1"/>
  <c r="I17" i="7" a="1"/>
  <c r="I15" i="7" a="1"/>
  <c r="B11" i="7" a="1"/>
  <c r="G8" i="7" a="1"/>
  <c r="D18" i="7" a="1"/>
  <c r="D11" i="7" a="1"/>
  <c r="D3" i="7" a="1"/>
  <c r="E11" i="7" a="1"/>
  <c r="G18" i="7" a="1"/>
  <c r="I18" i="7" a="1"/>
  <c r="F10" i="7" a="1"/>
  <c r="D6" i="7" a="1"/>
  <c r="H10" i="7" a="1"/>
  <c r="H11" i="7" a="1"/>
  <c r="H3" i="7" a="1"/>
  <c r="C18" i="7" a="1"/>
  <c r="I4" i="7" a="1"/>
  <c r="F5" i="7" a="1"/>
  <c r="E12" i="7" a="1"/>
  <c r="C13" i="7" a="1"/>
  <c r="G13" i="7" a="1"/>
  <c r="E17" i="7" a="1"/>
  <c r="I10" i="7" a="1"/>
  <c r="H12" i="7" a="1"/>
  <c r="B18" i="7" a="1"/>
  <c r="E10" i="7" a="1"/>
  <c r="I8" i="7" a="1"/>
  <c r="C15" i="7" a="1"/>
  <c r="H5" i="7" a="1"/>
  <c r="B6" i="7" a="1"/>
  <c r="G7" i="7" a="1"/>
  <c r="C12" i="7" a="1"/>
  <c r="B17" i="7" a="1"/>
  <c r="D16" i="7" a="1"/>
  <c r="H14" i="7" a="1"/>
  <c r="I16" i="7" a="1"/>
  <c r="D9" i="7" a="1"/>
  <c r="F13" i="7" a="1"/>
  <c r="D14" i="7" a="1"/>
  <c r="E4" i="7" a="1"/>
  <c r="B8" i="7" a="1"/>
  <c r="H18" i="7" a="1"/>
  <c r="F12" i="7" a="1"/>
  <c r="H13" i="7" a="1"/>
  <c r="I7" i="7" a="1"/>
  <c r="D8" i="7" a="1"/>
  <c r="G9" i="7" a="1"/>
  <c r="H9" i="7" a="1"/>
  <c r="B7" i="7" a="1"/>
  <c r="B10" i="7" a="1"/>
  <c r="F14" i="7" a="1"/>
  <c r="G17" i="7" a="1"/>
  <c r="D12" i="7" a="1"/>
  <c r="G6" i="7" a="1"/>
  <c r="C3" i="7" a="1"/>
  <c r="C16" i="7" a="1"/>
  <c r="G15" i="7" a="1"/>
  <c r="C6" i="7" a="1"/>
  <c r="I3" i="7" a="1"/>
  <c r="D5" i="7" a="1"/>
  <c r="C17" i="7" a="1"/>
  <c r="E15" i="7" a="1"/>
  <c r="F15" i="7" a="1"/>
  <c r="B15" i="7" a="1"/>
  <c r="B16" i="7" a="1"/>
  <c r="H8" i="7" a="1"/>
  <c r="I12" i="7" a="1"/>
  <c r="I14" i="7" a="1"/>
  <c r="C14" i="7" a="1"/>
  <c r="E16" i="7" a="1"/>
  <c r="B13" i="7" a="1"/>
  <c r="L12" i="6" l="1"/>
  <c r="L18" i="6"/>
  <c r="L13" i="6"/>
  <c r="L9" i="6"/>
  <c r="L17" i="6"/>
  <c r="L16" i="6"/>
  <c r="L8" i="6"/>
  <c r="L15" i="6"/>
  <c r="L7" i="6"/>
  <c r="L14" i="6"/>
  <c r="L4" i="6"/>
  <c r="L11" i="6"/>
  <c r="L6" i="6"/>
  <c r="L5" i="6"/>
  <c r="I5" i="7"/>
  <c r="I4" i="7"/>
  <c r="I3" i="7"/>
  <c r="H5" i="7"/>
  <c r="H4" i="7"/>
  <c r="C5" i="7"/>
  <c r="C4" i="7"/>
  <c r="B5" i="7"/>
  <c r="B4" i="7"/>
  <c r="H3" i="7"/>
  <c r="C3" i="7"/>
  <c r="B3" i="7"/>
  <c r="G3" i="7"/>
  <c r="G4" i="7"/>
  <c r="G5" i="7"/>
  <c r="F3" i="7"/>
  <c r="F4" i="7"/>
  <c r="F5" i="7"/>
  <c r="E3" i="7"/>
  <c r="E4" i="7"/>
  <c r="E5" i="7"/>
  <c r="D3" i="7"/>
  <c r="D4" i="7"/>
  <c r="D5" i="7"/>
  <c r="I18" i="7"/>
  <c r="H18" i="7"/>
  <c r="G18" i="7"/>
  <c r="F18" i="7"/>
  <c r="E18" i="7"/>
  <c r="D18" i="7"/>
  <c r="C18" i="7"/>
  <c r="I17" i="7"/>
  <c r="H17" i="7"/>
  <c r="G17" i="7"/>
  <c r="F17" i="7"/>
  <c r="E17" i="7"/>
  <c r="D17" i="7"/>
  <c r="C17" i="7"/>
  <c r="I16" i="7"/>
  <c r="H16" i="7"/>
  <c r="G16" i="7"/>
  <c r="F16" i="7"/>
  <c r="E16" i="7"/>
  <c r="D16" i="7"/>
  <c r="C16" i="7"/>
  <c r="I15" i="7"/>
  <c r="H15" i="7"/>
  <c r="G15" i="7"/>
  <c r="F15" i="7"/>
  <c r="E15" i="7"/>
  <c r="D15" i="7"/>
  <c r="C15" i="7"/>
  <c r="I14" i="7"/>
  <c r="H14" i="7"/>
  <c r="G14" i="7"/>
  <c r="F14" i="7"/>
  <c r="E14" i="7"/>
  <c r="D14" i="7"/>
  <c r="C14" i="7"/>
  <c r="I13" i="7"/>
  <c r="H13" i="7"/>
  <c r="G13" i="7"/>
  <c r="F13" i="7"/>
  <c r="E13" i="7"/>
  <c r="D13" i="7"/>
  <c r="C13" i="7"/>
  <c r="I12" i="7"/>
  <c r="H12" i="7"/>
  <c r="G12" i="7"/>
  <c r="F12" i="7"/>
  <c r="E12" i="7"/>
  <c r="D12" i="7"/>
  <c r="C12" i="7"/>
  <c r="I11" i="7"/>
  <c r="H11" i="7"/>
  <c r="G11" i="7"/>
  <c r="F11" i="7"/>
  <c r="E11" i="7"/>
  <c r="D11" i="7"/>
  <c r="C11" i="7"/>
  <c r="I10" i="7"/>
  <c r="H10" i="7"/>
  <c r="G10" i="7"/>
  <c r="F10" i="7"/>
  <c r="E10" i="7"/>
  <c r="D10" i="7"/>
  <c r="C10" i="7"/>
  <c r="B11" i="7"/>
  <c r="C7" i="7"/>
  <c r="C8" i="7"/>
  <c r="C9" i="7"/>
  <c r="G6" i="7"/>
  <c r="H6" i="7"/>
  <c r="B12" i="7"/>
  <c r="D7" i="7"/>
  <c r="D8" i="7"/>
  <c r="D9" i="7"/>
  <c r="E9" i="7"/>
  <c r="F9" i="7"/>
  <c r="G9" i="7"/>
  <c r="F6" i="7"/>
  <c r="B18" i="7"/>
  <c r="B13" i="7"/>
  <c r="E7" i="7"/>
  <c r="B6" i="7"/>
  <c r="B14" i="7"/>
  <c r="F8" i="7"/>
  <c r="B7" i="7"/>
  <c r="G7" i="7"/>
  <c r="D6" i="7"/>
  <c r="B8" i="7"/>
  <c r="B16" i="7"/>
  <c r="H7" i="7"/>
  <c r="H8" i="7"/>
  <c r="H9" i="7"/>
  <c r="B10" i="7"/>
  <c r="I6" i="7"/>
  <c r="E8" i="7"/>
  <c r="F7" i="7"/>
  <c r="C6" i="7"/>
  <c r="B15" i="7"/>
  <c r="G8" i="7"/>
  <c r="E6" i="7"/>
  <c r="B9" i="7"/>
  <c r="B17" i="7"/>
  <c r="I7" i="7"/>
  <c r="I8" i="7"/>
  <c r="I9" i="7"/>
  <c r="W6" i="10"/>
  <c r="O10" i="10"/>
  <c r="P7" i="10"/>
  <c r="R10" i="10"/>
  <c r="W8" i="10"/>
  <c r="S10" i="10"/>
  <c r="N6" i="10"/>
  <c r="P9" i="10"/>
  <c r="V10" i="10"/>
  <c r="U7" i="10"/>
  <c r="Q9" i="10"/>
  <c r="R6" i="10"/>
  <c r="P11" i="10"/>
  <c r="S6" i="10"/>
  <c r="O8" i="10"/>
  <c r="U9" i="10"/>
  <c r="Q11" i="10"/>
  <c r="S8" i="10"/>
  <c r="N12" i="10"/>
  <c r="V8" i="10"/>
  <c r="O12" i="10"/>
  <c r="Q7" i="10"/>
  <c r="Q13" i="10"/>
  <c r="T7" i="10"/>
  <c r="P14" i="10"/>
  <c r="O6" i="10"/>
  <c r="W10" i="10"/>
  <c r="N8" i="10"/>
  <c r="T9" i="10"/>
  <c r="V6" i="10"/>
  <c r="R8" i="10"/>
  <c r="N10" i="10"/>
  <c r="X10" i="10" s="1"/>
  <c r="U11" i="10"/>
  <c r="S12" i="10"/>
  <c r="U13" i="10"/>
  <c r="N15" i="10"/>
  <c r="R15" i="10"/>
  <c r="P16" i="10"/>
  <c r="N17" i="10"/>
  <c r="V17" i="10"/>
  <c r="P18" i="10"/>
  <c r="P6" i="10"/>
  <c r="T6" i="10"/>
  <c r="N7" i="10"/>
  <c r="R7" i="10"/>
  <c r="P8" i="10"/>
  <c r="T8" i="10"/>
  <c r="N9" i="10"/>
  <c r="X9" i="10" s="1"/>
  <c r="R9" i="10"/>
  <c r="V9" i="10"/>
  <c r="P10" i="10"/>
  <c r="T10" i="10"/>
  <c r="N11" i="10"/>
  <c r="R11" i="10"/>
  <c r="V11" i="10"/>
  <c r="P12" i="10"/>
  <c r="T12" i="10"/>
  <c r="N13" i="10"/>
  <c r="R13" i="10"/>
  <c r="V13" i="10"/>
  <c r="Q14" i="10"/>
  <c r="U14" i="10"/>
  <c r="O15" i="10"/>
  <c r="S15" i="10"/>
  <c r="W15" i="10"/>
  <c r="Q16" i="10"/>
  <c r="U16" i="10"/>
  <c r="O17" i="10"/>
  <c r="S17" i="10"/>
  <c r="W17" i="10"/>
  <c r="Q18" i="10"/>
  <c r="U18" i="10"/>
  <c r="W12" i="10"/>
  <c r="T14" i="10"/>
  <c r="V15" i="10"/>
  <c r="T16" i="10"/>
  <c r="R17" i="10"/>
  <c r="T18" i="10"/>
  <c r="V7" i="10"/>
  <c r="O7" i="10"/>
  <c r="W7" i="10"/>
  <c r="U8" i="10"/>
  <c r="O9" i="10"/>
  <c r="S9" i="10"/>
  <c r="Q10" i="10"/>
  <c r="U10" i="10"/>
  <c r="O11" i="10"/>
  <c r="S11" i="10"/>
  <c r="W11" i="10"/>
  <c r="Q12" i="10"/>
  <c r="U12" i="10"/>
  <c r="O13" i="10"/>
  <c r="S13" i="10"/>
  <c r="N14" i="10"/>
  <c r="R14" i="10"/>
  <c r="V14" i="10"/>
  <c r="P15" i="10"/>
  <c r="T15" i="10"/>
  <c r="N16" i="10"/>
  <c r="R16" i="10"/>
  <c r="V16" i="10"/>
  <c r="P17" i="10"/>
  <c r="T17" i="10"/>
  <c r="N18" i="10"/>
  <c r="R18" i="10"/>
  <c r="V18" i="10"/>
  <c r="Q6" i="10"/>
  <c r="U6" i="10"/>
  <c r="S7" i="10"/>
  <c r="Q8" i="10"/>
  <c r="W9" i="10"/>
  <c r="T11" i="10"/>
  <c r="R12" i="10"/>
  <c r="V12" i="10"/>
  <c r="P13" i="10"/>
  <c r="T13" i="10"/>
  <c r="O14" i="10"/>
  <c r="S14" i="10"/>
  <c r="W14" i="10"/>
  <c r="Q15" i="10"/>
  <c r="U15" i="10"/>
  <c r="O16" i="10"/>
  <c r="S16" i="10"/>
  <c r="W16" i="10"/>
  <c r="Q17" i="10"/>
  <c r="U17" i="10"/>
  <c r="O18" i="10"/>
  <c r="W18" i="10"/>
  <c r="S18" i="10"/>
  <c r="I25" i="7" l="1"/>
  <c r="F25" i="7"/>
  <c r="H25" i="7"/>
  <c r="D25" i="7"/>
  <c r="B25" i="7"/>
  <c r="G25" i="7"/>
  <c r="E25" i="7"/>
  <c r="C25" i="7"/>
  <c r="E26" i="7"/>
  <c r="C26" i="7"/>
  <c r="D27" i="7"/>
  <c r="E27" i="7"/>
  <c r="F26" i="7"/>
  <c r="G26" i="7"/>
  <c r="D26" i="7"/>
  <c r="G27" i="7"/>
  <c r="I27" i="7"/>
  <c r="H26" i="7"/>
  <c r="H27" i="7"/>
  <c r="I26" i="7"/>
  <c r="C27" i="7"/>
  <c r="F27" i="7"/>
  <c r="G24" i="7"/>
  <c r="B27" i="7"/>
  <c r="B26" i="7"/>
  <c r="F24" i="7"/>
  <c r="E24" i="7"/>
  <c r="C24" i="7"/>
  <c r="I24" i="7"/>
  <c r="H24" i="7"/>
  <c r="D24" i="7"/>
  <c r="B24" i="7"/>
  <c r="O17" i="7"/>
  <c r="O18" i="7"/>
  <c r="O12" i="7"/>
  <c r="O10" i="7"/>
  <c r="O15" i="7"/>
  <c r="O14" i="7"/>
  <c r="O16" i="7"/>
  <c r="O9" i="7"/>
  <c r="O5" i="7"/>
  <c r="O7" i="7"/>
  <c r="O4" i="7"/>
  <c r="O6" i="7"/>
  <c r="O8" i="7"/>
  <c r="O13" i="7"/>
  <c r="O11" i="7"/>
  <c r="O3" i="7"/>
  <c r="X13" i="10"/>
  <c r="X18" i="10"/>
  <c r="X6" i="10"/>
  <c r="X14" i="10"/>
  <c r="X17" i="10"/>
  <c r="X11" i="10"/>
  <c r="X15" i="10"/>
  <c r="X12" i="10"/>
  <c r="X7" i="10"/>
  <c r="X8" i="10"/>
  <c r="X16" i="10"/>
  <c r="J11" i="7" a="1"/>
  <c r="J7" i="7" a="1"/>
  <c r="J18" i="7" a="1"/>
  <c r="J10" i="7" a="1"/>
  <c r="J17" i="7" a="1"/>
  <c r="J12" i="7" a="1"/>
  <c r="J8" i="7" a="1"/>
  <c r="J14" i="7" a="1"/>
  <c r="J6" i="7" a="1"/>
  <c r="J13" i="7" a="1"/>
  <c r="J3" i="7" a="1"/>
  <c r="J4" i="7" a="1"/>
  <c r="J15" i="7" a="1"/>
  <c r="J5" i="7" a="1"/>
  <c r="J9" i="7" a="1"/>
  <c r="J16" i="7" a="1"/>
  <c r="C34" i="7" l="1"/>
  <c r="E34" i="7"/>
  <c r="B34" i="7"/>
  <c r="G34" i="7"/>
  <c r="D34" i="7"/>
  <c r="H34" i="7"/>
  <c r="F34" i="7"/>
  <c r="I34" i="7"/>
  <c r="E33" i="7"/>
  <c r="G33" i="7"/>
  <c r="F33" i="7"/>
  <c r="B33" i="7"/>
  <c r="D33" i="7"/>
  <c r="J14" i="7"/>
  <c r="N14" i="7" s="1"/>
  <c r="J3" i="7"/>
  <c r="J6" i="7"/>
  <c r="J17" i="7"/>
  <c r="N17" i="7" s="1"/>
  <c r="J16" i="7"/>
  <c r="J9" i="7"/>
  <c r="N9" i="7" s="1"/>
  <c r="J13" i="7"/>
  <c r="J10" i="7"/>
  <c r="N10" i="7" s="1"/>
  <c r="J8" i="7"/>
  <c r="N8" i="7" s="1"/>
  <c r="J5" i="7"/>
  <c r="N5" i="7" s="1"/>
  <c r="J18" i="7"/>
  <c r="N18" i="7" s="1"/>
  <c r="J7" i="7"/>
  <c r="N7" i="7" s="1"/>
  <c r="J4" i="7"/>
  <c r="N4" i="7" s="1"/>
  <c r="J12" i="7"/>
  <c r="N12" i="7" s="1"/>
  <c r="J15" i="7"/>
  <c r="N15" i="7" s="1"/>
  <c r="J11" i="7"/>
  <c r="N11" i="7" s="1"/>
  <c r="G35" i="7"/>
  <c r="H36" i="7"/>
  <c r="G36" i="7"/>
  <c r="I36" i="7"/>
  <c r="E36" i="7"/>
  <c r="F36" i="7"/>
  <c r="D36" i="7"/>
  <c r="C35" i="7"/>
  <c r="C36" i="7"/>
  <c r="I35" i="7"/>
  <c r="H33" i="7"/>
  <c r="B36" i="7"/>
  <c r="H35" i="7"/>
  <c r="F35" i="7"/>
  <c r="E35" i="7"/>
  <c r="D35" i="7"/>
  <c r="B35" i="7"/>
  <c r="C33" i="7"/>
  <c r="I33" i="7"/>
  <c r="L7" i="7"/>
  <c r="L18" i="7"/>
  <c r="L5" i="7"/>
  <c r="L15" i="7"/>
  <c r="L17" i="7"/>
  <c r="L11" i="7"/>
  <c r="L13" i="7"/>
  <c r="L8" i="7"/>
  <c r="L6" i="7"/>
  <c r="L10" i="7"/>
  <c r="L9" i="7"/>
  <c r="L16" i="7"/>
  <c r="L14" i="7"/>
  <c r="L4" i="7"/>
  <c r="L12" i="7"/>
  <c r="L3" i="7"/>
  <c r="Y15" i="10"/>
  <c r="Y11" i="10"/>
  <c r="Y17" i="10"/>
  <c r="Y14" i="10"/>
  <c r="Y13" i="10"/>
  <c r="Y16" i="10"/>
  <c r="Y6" i="10"/>
  <c r="Y8" i="10"/>
  <c r="Y9" i="10"/>
  <c r="Y7" i="10"/>
  <c r="Y18" i="10"/>
  <c r="Y12" i="10"/>
  <c r="Y10" i="10"/>
  <c r="L25" i="7" l="1"/>
  <c r="N6" i="7"/>
  <c r="J25" i="7"/>
  <c r="N13" i="7"/>
  <c r="J26" i="7"/>
  <c r="J27" i="7"/>
  <c r="N16" i="7"/>
  <c r="N3" i="7"/>
  <c r="J24" i="7"/>
  <c r="L26" i="7"/>
  <c r="L27" i="7"/>
  <c r="L24" i="7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L18" i="9" s="1"/>
  <c r="I6" i="9"/>
  <c r="I10" i="9"/>
  <c r="I12" i="9"/>
  <c r="I14" i="9"/>
  <c r="I15" i="9"/>
  <c r="I16" i="9"/>
  <c r="I18" i="9"/>
  <c r="I5" i="9"/>
  <c r="I11" i="9"/>
  <c r="I17" i="9"/>
  <c r="I8" i="9"/>
  <c r="J5" i="9"/>
  <c r="J7" i="9"/>
  <c r="J8" i="9"/>
  <c r="J9" i="9"/>
  <c r="J10" i="9"/>
  <c r="J12" i="9"/>
  <c r="J13" i="9"/>
  <c r="J14" i="9"/>
  <c r="J15" i="9"/>
  <c r="J16" i="9"/>
  <c r="J17" i="9"/>
  <c r="J18" i="9"/>
  <c r="I3" i="9"/>
  <c r="I4" i="9"/>
  <c r="I7" i="9"/>
  <c r="I9" i="9"/>
  <c r="I13" i="9"/>
  <c r="J3" i="9"/>
  <c r="J4" i="9"/>
  <c r="L4" i="9" s="1"/>
  <c r="J6" i="9"/>
  <c r="J11" i="9"/>
  <c r="K3" i="9"/>
  <c r="K5" i="9"/>
  <c r="K7" i="9"/>
  <c r="K9" i="9"/>
  <c r="K10" i="9"/>
  <c r="K12" i="9"/>
  <c r="K13" i="9"/>
  <c r="K14" i="9"/>
  <c r="K15" i="9"/>
  <c r="K16" i="9"/>
  <c r="K18" i="9"/>
  <c r="K4" i="9"/>
  <c r="K6" i="9"/>
  <c r="K8" i="9"/>
  <c r="K11" i="9"/>
  <c r="K17" i="9"/>
  <c r="L34" i="7" l="1"/>
  <c r="J34" i="7"/>
  <c r="K7" i="7"/>
  <c r="K16" i="7"/>
  <c r="J36" i="7"/>
  <c r="K4" i="7"/>
  <c r="J35" i="7"/>
  <c r="K10" i="7"/>
  <c r="K13" i="7"/>
  <c r="J33" i="7"/>
  <c r="K17" i="7"/>
  <c r="K14" i="7"/>
  <c r="K6" i="7"/>
  <c r="K18" i="7"/>
  <c r="K9" i="7"/>
  <c r="K11" i="7"/>
  <c r="K5" i="7"/>
  <c r="K3" i="7"/>
  <c r="K8" i="7"/>
  <c r="K15" i="7"/>
  <c r="K12" i="7"/>
  <c r="L36" i="7"/>
  <c r="L35" i="7"/>
  <c r="L33" i="7"/>
  <c r="L10" i="9"/>
  <c r="L17" i="9"/>
  <c r="L9" i="9"/>
  <c r="L8" i="9"/>
  <c r="L15" i="9"/>
  <c r="L7" i="9"/>
  <c r="L14" i="9"/>
  <c r="L6" i="9"/>
  <c r="L13" i="9"/>
  <c r="L5" i="9"/>
  <c r="L12" i="9"/>
  <c r="L11" i="9"/>
  <c r="L3" i="9"/>
  <c r="L16" i="9"/>
  <c r="K25" i="7" l="1"/>
  <c r="K27" i="7"/>
  <c r="K24" i="7"/>
  <c r="K26" i="7"/>
  <c r="M4" i="9"/>
  <c r="M7" i="9"/>
  <c r="M15" i="9"/>
  <c r="M11" i="9"/>
  <c r="M3" i="9"/>
  <c r="M5" i="9"/>
  <c r="M9" i="9"/>
  <c r="M17" i="9"/>
  <c r="M16" i="9"/>
  <c r="M8" i="9"/>
  <c r="M13" i="9"/>
  <c r="M6" i="9"/>
  <c r="M10" i="9"/>
  <c r="M12" i="9"/>
  <c r="M14" i="9"/>
  <c r="M18" i="9"/>
  <c r="J18" i="8"/>
  <c r="I18" i="8"/>
  <c r="H18" i="8"/>
  <c r="J17" i="8"/>
  <c r="I17" i="8"/>
  <c r="H17" i="8"/>
  <c r="J16" i="8"/>
  <c r="I16" i="8"/>
  <c r="H16" i="8"/>
  <c r="J15" i="8"/>
  <c r="I15" i="8"/>
  <c r="H15" i="8"/>
  <c r="J14" i="8"/>
  <c r="I14" i="8"/>
  <c r="H14" i="8"/>
  <c r="J13" i="8"/>
  <c r="I13" i="8"/>
  <c r="H13" i="8"/>
  <c r="J12" i="8"/>
  <c r="I12" i="8"/>
  <c r="H12" i="8"/>
  <c r="J11" i="8"/>
  <c r="I11" i="8"/>
  <c r="H11" i="8"/>
  <c r="J10" i="8"/>
  <c r="I10" i="8"/>
  <c r="H10" i="8"/>
  <c r="J9" i="8"/>
  <c r="I9" i="8"/>
  <c r="H9" i="8"/>
  <c r="J8" i="8"/>
  <c r="I8" i="8"/>
  <c r="H8" i="8"/>
  <c r="J7" i="8"/>
  <c r="I7" i="8"/>
  <c r="H7" i="8"/>
  <c r="J6" i="8"/>
  <c r="I6" i="8"/>
  <c r="H6" i="8"/>
  <c r="J5" i="8"/>
  <c r="I5" i="8"/>
  <c r="H5" i="8"/>
  <c r="J4" i="8"/>
  <c r="I4" i="8"/>
  <c r="H4" i="8"/>
  <c r="J3" i="8"/>
  <c r="I3" i="8"/>
  <c r="H3" i="8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M3" i="3"/>
  <c r="J3" i="3"/>
  <c r="K3" i="3"/>
  <c r="L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3" i="3"/>
  <c r="K34" i="7" l="1"/>
  <c r="K33" i="7"/>
  <c r="K36" i="7"/>
  <c r="K35" i="7"/>
  <c r="L4" i="8"/>
  <c r="L12" i="8"/>
  <c r="L3" i="8"/>
  <c r="L16" i="8"/>
  <c r="L11" i="8"/>
  <c r="L6" i="8"/>
  <c r="L10" i="8"/>
  <c r="L15" i="8"/>
  <c r="L14" i="8"/>
  <c r="L18" i="8"/>
  <c r="L7" i="8"/>
  <c r="L9" i="8"/>
  <c r="L5" i="8"/>
  <c r="L17" i="8"/>
  <c r="L8" i="8"/>
  <c r="L13" i="8"/>
  <c r="I3" i="4"/>
  <c r="M3" i="4"/>
  <c r="L4" i="4"/>
  <c r="K5" i="4"/>
  <c r="J6" i="4"/>
  <c r="I7" i="4"/>
  <c r="M7" i="4"/>
  <c r="L8" i="4"/>
  <c r="K9" i="4"/>
  <c r="J10" i="4"/>
  <c r="I11" i="4"/>
  <c r="M11" i="4"/>
  <c r="L12" i="4"/>
  <c r="K13" i="4"/>
  <c r="J14" i="4"/>
  <c r="I15" i="4"/>
  <c r="M15" i="4"/>
  <c r="L16" i="4"/>
  <c r="K17" i="4"/>
  <c r="J18" i="4"/>
  <c r="I16" i="4"/>
  <c r="I4" i="4"/>
  <c r="K6" i="4"/>
  <c r="M8" i="4"/>
  <c r="K14" i="4"/>
  <c r="K3" i="4"/>
  <c r="J4" i="4"/>
  <c r="I5" i="4"/>
  <c r="M5" i="4"/>
  <c r="L6" i="4"/>
  <c r="K7" i="4"/>
  <c r="J8" i="4"/>
  <c r="I9" i="4"/>
  <c r="M9" i="4"/>
  <c r="L10" i="4"/>
  <c r="K11" i="4"/>
  <c r="J12" i="4"/>
  <c r="I13" i="4"/>
  <c r="M13" i="4"/>
  <c r="L14" i="4"/>
  <c r="K15" i="4"/>
  <c r="J16" i="4"/>
  <c r="I17" i="4"/>
  <c r="M17" i="4"/>
  <c r="L18" i="4"/>
  <c r="J3" i="4"/>
  <c r="M4" i="4"/>
  <c r="L5" i="4"/>
  <c r="J7" i="4"/>
  <c r="I8" i="4"/>
  <c r="L9" i="4"/>
  <c r="K10" i="4"/>
  <c r="J11" i="4"/>
  <c r="I12" i="4"/>
  <c r="M12" i="4"/>
  <c r="L13" i="4"/>
  <c r="J15" i="4"/>
  <c r="M16" i="4"/>
  <c r="L17" i="4"/>
  <c r="K18" i="4"/>
  <c r="L3" i="4"/>
  <c r="K4" i="4"/>
  <c r="J5" i="4"/>
  <c r="I6" i="4"/>
  <c r="M6" i="4"/>
  <c r="L7" i="4"/>
  <c r="K8" i="4"/>
  <c r="J9" i="4"/>
  <c r="I10" i="4"/>
  <c r="M10" i="4"/>
  <c r="L11" i="4"/>
  <c r="K12" i="4"/>
  <c r="J13" i="4"/>
  <c r="I14" i="4"/>
  <c r="M14" i="4"/>
  <c r="L15" i="4"/>
  <c r="K16" i="4"/>
  <c r="J17" i="4"/>
  <c r="I18" i="4"/>
  <c r="M18" i="4"/>
  <c r="M8" i="8" l="1"/>
  <c r="M13" i="8"/>
  <c r="M7" i="8"/>
  <c r="M18" i="8"/>
  <c r="M5" i="8"/>
  <c r="M14" i="8"/>
  <c r="M4" i="8"/>
  <c r="M15" i="8"/>
  <c r="M16" i="8"/>
  <c r="M9" i="8"/>
  <c r="M6" i="8"/>
  <c r="M11" i="8"/>
  <c r="M12" i="8"/>
  <c r="M3" i="8"/>
  <c r="M10" i="8"/>
  <c r="M17" i="8"/>
  <c r="N14" i="4"/>
  <c r="N6" i="4"/>
  <c r="N15" i="4"/>
  <c r="N13" i="4"/>
  <c r="N7" i="4"/>
  <c r="N5" i="4"/>
  <c r="N17" i="4"/>
  <c r="N8" i="4"/>
  <c r="N9" i="4"/>
  <c r="N12" i="4"/>
  <c r="N11" i="4"/>
  <c r="N18" i="4"/>
  <c r="N4" i="4"/>
  <c r="N16" i="4"/>
  <c r="N3" i="4"/>
  <c r="N10" i="4"/>
  <c r="O17" i="4" l="1"/>
  <c r="O10" i="4"/>
  <c r="O3" i="4"/>
  <c r="O8" i="4"/>
  <c r="O4" i="4"/>
  <c r="O7" i="4"/>
  <c r="O13" i="4"/>
  <c r="O16" i="4"/>
  <c r="O18" i="4"/>
  <c r="O15" i="4"/>
  <c r="O5" i="4"/>
  <c r="O11" i="4"/>
  <c r="O12" i="4"/>
  <c r="O6" i="4"/>
  <c r="O9" i="4"/>
  <c r="O14" i="4"/>
  <c r="O18" i="2" l="1"/>
  <c r="N18" i="2"/>
  <c r="M18" i="2"/>
  <c r="L18" i="2"/>
  <c r="K18" i="2"/>
  <c r="J18" i="2"/>
  <c r="O17" i="2"/>
  <c r="N17" i="2"/>
  <c r="M17" i="2"/>
  <c r="L17" i="2"/>
  <c r="K17" i="2"/>
  <c r="J17" i="2"/>
  <c r="O16" i="2"/>
  <c r="N16" i="2"/>
  <c r="M16" i="2"/>
  <c r="L16" i="2"/>
  <c r="K16" i="2"/>
  <c r="J16" i="2"/>
  <c r="P16" i="2" s="1"/>
  <c r="O15" i="2"/>
  <c r="N15" i="2"/>
  <c r="M15" i="2"/>
  <c r="L15" i="2"/>
  <c r="K15" i="2"/>
  <c r="J15" i="2"/>
  <c r="P15" i="2" s="1"/>
  <c r="O14" i="2"/>
  <c r="N14" i="2"/>
  <c r="M14" i="2"/>
  <c r="L14" i="2"/>
  <c r="K14" i="2"/>
  <c r="J14" i="2"/>
  <c r="O13" i="2"/>
  <c r="N13" i="2"/>
  <c r="M13" i="2"/>
  <c r="L13" i="2"/>
  <c r="K13" i="2"/>
  <c r="J13" i="2"/>
  <c r="O12" i="2"/>
  <c r="N12" i="2"/>
  <c r="M12" i="2"/>
  <c r="L12" i="2"/>
  <c r="K12" i="2"/>
  <c r="J12" i="2"/>
  <c r="P12" i="2" s="1"/>
  <c r="O11" i="2"/>
  <c r="N11" i="2"/>
  <c r="M11" i="2"/>
  <c r="L11" i="2"/>
  <c r="K11" i="2"/>
  <c r="J11" i="2"/>
  <c r="P11" i="2" s="1"/>
  <c r="O10" i="2"/>
  <c r="N10" i="2"/>
  <c r="M10" i="2"/>
  <c r="L10" i="2"/>
  <c r="K10" i="2"/>
  <c r="J10" i="2"/>
  <c r="O9" i="2"/>
  <c r="N9" i="2"/>
  <c r="M9" i="2"/>
  <c r="L9" i="2"/>
  <c r="K9" i="2"/>
  <c r="J9" i="2"/>
  <c r="O8" i="2"/>
  <c r="N8" i="2"/>
  <c r="M8" i="2"/>
  <c r="L8" i="2"/>
  <c r="K8" i="2"/>
  <c r="J8" i="2"/>
  <c r="P8" i="2" s="1"/>
  <c r="O7" i="2"/>
  <c r="N7" i="2"/>
  <c r="M7" i="2"/>
  <c r="L7" i="2"/>
  <c r="K7" i="2"/>
  <c r="J7" i="2"/>
  <c r="O6" i="2"/>
  <c r="N6" i="2"/>
  <c r="M6" i="2"/>
  <c r="L6" i="2"/>
  <c r="K6" i="2"/>
  <c r="J6" i="2"/>
  <c r="P13" i="1"/>
  <c r="O7" i="1"/>
  <c r="O8" i="1"/>
  <c r="O9" i="1"/>
  <c r="O10" i="1"/>
  <c r="O11" i="1"/>
  <c r="O12" i="1"/>
  <c r="O13" i="1"/>
  <c r="O14" i="1"/>
  <c r="O15" i="1"/>
  <c r="O16" i="1"/>
  <c r="O17" i="1"/>
  <c r="O18" i="1"/>
  <c r="O6" i="1"/>
  <c r="N7" i="1"/>
  <c r="N8" i="1"/>
  <c r="N9" i="1"/>
  <c r="N10" i="1"/>
  <c r="N11" i="1"/>
  <c r="N12" i="1"/>
  <c r="N13" i="1"/>
  <c r="N14" i="1"/>
  <c r="N15" i="1"/>
  <c r="N16" i="1"/>
  <c r="N17" i="1"/>
  <c r="N18" i="1"/>
  <c r="N6" i="1"/>
  <c r="M7" i="1"/>
  <c r="M8" i="1"/>
  <c r="P8" i="1" s="1"/>
  <c r="M9" i="1"/>
  <c r="M10" i="1"/>
  <c r="M11" i="1"/>
  <c r="M12" i="1"/>
  <c r="M13" i="1"/>
  <c r="M14" i="1"/>
  <c r="M15" i="1"/>
  <c r="M16" i="1"/>
  <c r="P16" i="1" s="1"/>
  <c r="M17" i="1"/>
  <c r="M18" i="1"/>
  <c r="M6" i="1"/>
  <c r="L7" i="1"/>
  <c r="L8" i="1"/>
  <c r="L9" i="1"/>
  <c r="L10" i="1"/>
  <c r="L11" i="1"/>
  <c r="L12" i="1"/>
  <c r="L13" i="1"/>
  <c r="L14" i="1"/>
  <c r="L15" i="1"/>
  <c r="L16" i="1"/>
  <c r="L17" i="1"/>
  <c r="L18" i="1"/>
  <c r="L6" i="1"/>
  <c r="K7" i="1"/>
  <c r="K8" i="1"/>
  <c r="K9" i="1"/>
  <c r="K10" i="1"/>
  <c r="K11" i="1"/>
  <c r="P11" i="1" s="1"/>
  <c r="K12" i="1"/>
  <c r="P12" i="1" s="1"/>
  <c r="Q12" i="1" s="1"/>
  <c r="K13" i="1"/>
  <c r="K14" i="1"/>
  <c r="K15" i="1"/>
  <c r="K16" i="1"/>
  <c r="K17" i="1"/>
  <c r="K18" i="1"/>
  <c r="K6" i="1"/>
  <c r="P6" i="1" s="1"/>
  <c r="J7" i="1"/>
  <c r="P7" i="1" s="1"/>
  <c r="Q7" i="1" s="1"/>
  <c r="J8" i="1"/>
  <c r="J9" i="1"/>
  <c r="P9" i="1" s="1"/>
  <c r="J10" i="1"/>
  <c r="P10" i="1" s="1"/>
  <c r="J11" i="1"/>
  <c r="J12" i="1"/>
  <c r="J13" i="1"/>
  <c r="J14" i="1"/>
  <c r="P14" i="1" s="1"/>
  <c r="J15" i="1"/>
  <c r="P15" i="1" s="1"/>
  <c r="Q15" i="1" s="1"/>
  <c r="J16" i="1"/>
  <c r="J17" i="1"/>
  <c r="P17" i="1" s="1"/>
  <c r="J18" i="1"/>
  <c r="P18" i="1" s="1"/>
  <c r="J6" i="1"/>
  <c r="P7" i="2" l="1"/>
  <c r="P10" i="2"/>
  <c r="P14" i="2"/>
  <c r="P18" i="2"/>
  <c r="P6" i="2"/>
  <c r="P9" i="2"/>
  <c r="P13" i="2"/>
  <c r="Q14" i="2" s="1"/>
  <c r="P17" i="2"/>
  <c r="Q17" i="2" s="1"/>
  <c r="Q14" i="1"/>
  <c r="Q6" i="1"/>
  <c r="Q13" i="1"/>
  <c r="Q10" i="1"/>
  <c r="Q16" i="1"/>
  <c r="Q18" i="1"/>
  <c r="Q17" i="1"/>
  <c r="Q9" i="1"/>
  <c r="Q8" i="1"/>
  <c r="Q11" i="1"/>
  <c r="Q9" i="2" l="1"/>
  <c r="Q13" i="2"/>
  <c r="Q6" i="2"/>
  <c r="Q10" i="2"/>
  <c r="Q11" i="2"/>
  <c r="Q18" i="2"/>
  <c r="Q16" i="2"/>
  <c r="Q15" i="2"/>
  <c r="Q8" i="2"/>
  <c r="Q7" i="2"/>
  <c r="Q1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<sst xmlns="http://schemas.openxmlformats.org/spreadsheetml/2006/main" count="580" uniqueCount="75">
  <si>
    <t>Nazwa hostingu</t>
  </si>
  <si>
    <t>Liczba zapytań</t>
  </si>
  <si>
    <t>Średnia</t>
  </si>
  <si>
    <t>Mediana</t>
  </si>
  <si>
    <t>95. percentyl</t>
  </si>
  <si>
    <t>Procent błędów</t>
  </si>
  <si>
    <t>Przepustowość</t>
  </si>
  <si>
    <t>x10hosting</t>
  </si>
  <si>
    <t>googiehost</t>
  </si>
  <si>
    <t>freehosting.it</t>
  </si>
  <si>
    <t>atspace</t>
  </si>
  <si>
    <t>awardspace</t>
  </si>
  <si>
    <t>freehostingeu</t>
  </si>
  <si>
    <t>freehostingnoads</t>
  </si>
  <si>
    <t>hidencloud</t>
  </si>
  <si>
    <t>replit</t>
  </si>
  <si>
    <t>vercel</t>
  </si>
  <si>
    <t>render</t>
  </si>
  <si>
    <t>alwaysdata</t>
  </si>
  <si>
    <t>leapcell</t>
  </si>
  <si>
    <t>infinityfree</t>
  </si>
  <si>
    <t>aeonfree</t>
  </si>
  <si>
    <t>tinkerhost</t>
  </si>
  <si>
    <t>Aggregate report</t>
  </si>
  <si>
    <t>Ranking</t>
  </si>
  <si>
    <t>Miejsce</t>
  </si>
  <si>
    <t>Średnia arytmetyczna</t>
  </si>
  <si>
    <t>testSorting</t>
  </si>
  <si>
    <t>testPrimes</t>
  </si>
  <si>
    <t>testFibonacci</t>
  </si>
  <si>
    <t>testStrings</t>
  </si>
  <si>
    <t>testKNN</t>
  </si>
  <si>
    <t>Odchylenie Standardowe</t>
  </si>
  <si>
    <t>INSERT</t>
  </si>
  <si>
    <t>SELECT</t>
  </si>
  <si>
    <t>UPDATE</t>
  </si>
  <si>
    <t>DELETE</t>
  </si>
  <si>
    <t>Odchylenie standardowe</t>
  </si>
  <si>
    <t>PL</t>
  </si>
  <si>
    <t>US</t>
  </si>
  <si>
    <t>CA</t>
  </si>
  <si>
    <t>FR</t>
  </si>
  <si>
    <t>DE</t>
  </si>
  <si>
    <t>NL</t>
  </si>
  <si>
    <t>NO</t>
  </si>
  <si>
    <t>RO</t>
  </si>
  <si>
    <t>UK</t>
  </si>
  <si>
    <t>HK</t>
  </si>
  <si>
    <t>N/A</t>
  </si>
  <si>
    <t>Możliwość wdrożenia aplikacji bez użycia systemu Git</t>
  </si>
  <si>
    <t>Graficzny eksplorator plików</t>
  </si>
  <si>
    <t>NIE</t>
  </si>
  <si>
    <t>TAK</t>
  </si>
  <si>
    <t>Komfort pracy deweloperskiej</t>
  </si>
  <si>
    <t>Nowczesny interfejs użytkownika panelu kontrolnego</t>
  </si>
  <si>
    <t>Niski próg wejścia dla początkującego użytkownika</t>
  </si>
  <si>
    <t>Suma</t>
  </si>
  <si>
    <t>Obc.</t>
  </si>
  <si>
    <t>Skok.</t>
  </si>
  <si>
    <t>Alg.</t>
  </si>
  <si>
    <t>Bazy</t>
  </si>
  <si>
    <t>Bazy odch.</t>
  </si>
  <si>
    <t>Lok.</t>
  </si>
  <si>
    <t>Komfort pracy</t>
  </si>
  <si>
    <t>Średnia bez komfortu</t>
  </si>
  <si>
    <t>Alg. Odch.</t>
  </si>
  <si>
    <t>Lok. Odch.</t>
  </si>
  <si>
    <t>Ranking zbiorczy hostingów</t>
  </si>
  <si>
    <t>Ranking zbiorczy technologii</t>
  </si>
  <si>
    <t>Technologia</t>
  </si>
  <si>
    <t>PHP</t>
  </si>
  <si>
    <t>Node.js</t>
  </si>
  <si>
    <t>Go</t>
  </si>
  <si>
    <t>Ranking zbiorczy technologii średnie</t>
  </si>
  <si>
    <t>PHP*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</si>
</sst>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  <charset val="238"/>
    </font>
    <font>
      <sz val="8"/>
      <color theme="1"/>
      <name val="Arial"/>
      <family val="2"/>
      <charset val="238"/>
    </font>
    <font>
      <sz val="11"/>
      <color rgb="FF000000"/>
      <name val="Calibri"/>
      <family val="2"/>
      <charset val="238"/>
    </font>
    <font>
      <sz val="11"/>
      <color rgb="FFFF4B4B"/>
      <name val="Calibri"/>
      <family val="2"/>
      <charset val="238"/>
    </font>
    <font>
      <sz val="11"/>
      <color rgb="FF00A038"/>
      <name val="Calibri"/>
      <family val="2"/>
      <charset val="238"/>
    </font>
    <font>
      <sz val="11"/>
      <color rgb="FF000000"/>
      <name val="Arial"/>
      <family val="2"/>
      <charset val="238"/>
    </font>
    <font>
      <sz val="11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center" vertical="center" wrapText="1"/>
    </xf>
    <xf numFmtId="10" fontId="2" fillId="0" borderId="4" xfId="0" applyNumberFormat="1" applyFont="1" applyBorder="1" applyAlignment="1">
      <alignment horizontal="center" vertical="center" wrapText="1"/>
    </xf>
    <xf numFmtId="2" fontId="2" fillId="0" borderId="4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textRotation="90" wrapText="1"/>
    </xf>
    <xf numFmtId="0" fontId="3" fillId="2" borderId="2" xfId="0" applyFont="1" applyFill="1" applyBorder="1" applyAlignment="1">
      <alignment horizontal="center" vertical="center" textRotation="90" wrapText="1"/>
    </xf>
    <xf numFmtId="0" fontId="6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2" fontId="0" fillId="0" borderId="0" xfId="0" applyNumberFormat="1"/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"/>
  <sheetViews>
    <sheetView zoomScale="85" zoomScaleNormal="85" workbookViewId="0">
      <selection activeCell="Q5" sqref="Q3:Q5"/>
    </sheetView>
  </sheetViews>
  <sheetFormatPr defaultRowHeight="14.4" x14ac:dyDescent="0.3"/>
  <cols>
    <col min="1" max="1" width="15.44140625" customWidth="1"/>
    <col min="2" max="2" width="15.109375" customWidth="1"/>
    <col min="3" max="3" width="9.6640625" customWidth="1"/>
    <col min="4" max="4" width="10.33203125" customWidth="1"/>
    <col min="5" max="5" width="12.109375" customWidth="1"/>
    <col min="6" max="6" width="14.44140625" customWidth="1"/>
    <col min="7" max="7" width="13.77734375" customWidth="1"/>
    <col min="9" max="9" width="15.44140625" customWidth="1"/>
    <col min="10" max="10" width="15.109375" customWidth="1"/>
    <col min="11" max="11" width="9.6640625" customWidth="1"/>
    <col min="12" max="12" width="10.33203125" customWidth="1"/>
    <col min="13" max="13" width="12.109375" customWidth="1"/>
    <col min="14" max="14" width="14.44140625" customWidth="1"/>
    <col min="15" max="15" width="13.77734375" customWidth="1"/>
    <col min="16" max="16" width="14.109375" customWidth="1"/>
    <col min="17" max="17" width="11.88671875" customWidth="1"/>
  </cols>
  <sheetData>
    <row r="1" spans="1:17" ht="15" thickBot="1" x14ac:dyDescent="0.35">
      <c r="A1" s="17" t="s">
        <v>23</v>
      </c>
      <c r="B1" s="17"/>
      <c r="C1" s="17"/>
      <c r="D1" s="17"/>
      <c r="E1" s="17"/>
      <c r="F1" s="17"/>
      <c r="G1" s="17"/>
      <c r="I1" s="17" t="s">
        <v>24</v>
      </c>
      <c r="J1" s="17"/>
      <c r="K1" s="17"/>
      <c r="L1" s="17"/>
      <c r="M1" s="17"/>
      <c r="N1" s="17"/>
      <c r="O1" s="17"/>
      <c r="P1" s="17"/>
      <c r="Q1" s="17"/>
    </row>
    <row r="2" spans="1:17" ht="15" thickBot="1" x14ac:dyDescent="0.35">
      <c r="A2" s="1" t="s">
        <v>0</v>
      </c>
      <c r="B2" s="2" t="s">
        <v>1</v>
      </c>
      <c r="C2" s="2" t="s">
        <v>2</v>
      </c>
      <c r="D2" s="2" t="s">
        <v>3</v>
      </c>
      <c r="E2" s="1" t="s">
        <v>4</v>
      </c>
      <c r="F2" s="2" t="s">
        <v>5</v>
      </c>
      <c r="G2" s="2" t="s">
        <v>6</v>
      </c>
      <c r="I2" s="1" t="s">
        <v>0</v>
      </c>
      <c r="J2" s="2" t="s">
        <v>1</v>
      </c>
      <c r="K2" s="2" t="s">
        <v>2</v>
      </c>
      <c r="L2" s="2" t="s">
        <v>3</v>
      </c>
      <c r="M2" s="1" t="s">
        <v>4</v>
      </c>
      <c r="N2" s="2" t="s">
        <v>5</v>
      </c>
      <c r="O2" s="2" t="s">
        <v>6</v>
      </c>
      <c r="P2" s="2" t="s">
        <v>2</v>
      </c>
      <c r="Q2" s="2" t="s">
        <v>25</v>
      </c>
    </row>
    <row r="3" spans="1:17" ht="15" thickBot="1" x14ac:dyDescent="0.35">
      <c r="A3" s="3" t="s">
        <v>20</v>
      </c>
      <c r="B3" s="4"/>
      <c r="C3" s="4"/>
      <c r="D3" s="4"/>
      <c r="E3" s="4"/>
      <c r="F3" s="4"/>
      <c r="G3" s="4"/>
      <c r="I3" s="3" t="s">
        <v>20</v>
      </c>
      <c r="J3" s="4"/>
      <c r="K3" s="4"/>
      <c r="L3" s="4"/>
      <c r="M3" s="4"/>
      <c r="N3" s="4"/>
      <c r="O3" s="4"/>
      <c r="P3" s="4"/>
      <c r="Q3" s="4">
        <v>16</v>
      </c>
    </row>
    <row r="4" spans="1:17" ht="15" thickBot="1" x14ac:dyDescent="0.35">
      <c r="A4" s="3" t="s">
        <v>21</v>
      </c>
      <c r="B4" s="4"/>
      <c r="C4" s="4"/>
      <c r="D4" s="4"/>
      <c r="E4" s="4"/>
      <c r="F4" s="4"/>
      <c r="G4" s="4"/>
      <c r="I4" s="3" t="s">
        <v>21</v>
      </c>
      <c r="J4" s="4"/>
      <c r="K4" s="4"/>
      <c r="L4" s="4"/>
      <c r="M4" s="4"/>
      <c r="N4" s="4"/>
      <c r="O4" s="4"/>
      <c r="P4" s="4"/>
      <c r="Q4" s="4">
        <v>16</v>
      </c>
    </row>
    <row r="5" spans="1:17" ht="15" thickBot="1" x14ac:dyDescent="0.35">
      <c r="A5" s="3" t="s">
        <v>22</v>
      </c>
      <c r="B5" s="4"/>
      <c r="C5" s="4"/>
      <c r="D5" s="4"/>
      <c r="E5" s="4"/>
      <c r="F5" s="4"/>
      <c r="G5" s="4"/>
      <c r="I5" s="3" t="s">
        <v>22</v>
      </c>
      <c r="J5" s="4"/>
      <c r="K5" s="4"/>
      <c r="L5" s="4"/>
      <c r="M5" s="4"/>
      <c r="N5" s="4"/>
      <c r="O5" s="4"/>
      <c r="P5" s="4"/>
      <c r="Q5" s="4">
        <v>16</v>
      </c>
    </row>
    <row r="6" spans="1:17" ht="15" thickBot="1" x14ac:dyDescent="0.35">
      <c r="A6" s="3" t="s">
        <v>7</v>
      </c>
      <c r="B6" s="4">
        <v>119518</v>
      </c>
      <c r="C6" s="4">
        <v>293</v>
      </c>
      <c r="D6" s="4">
        <v>217</v>
      </c>
      <c r="E6" s="4">
        <v>485</v>
      </c>
      <c r="F6" s="5">
        <v>1.2999999999999999E-3</v>
      </c>
      <c r="G6" s="6">
        <v>298.49426999999997</v>
      </c>
      <c r="I6" s="3" t="s">
        <v>7</v>
      </c>
      <c r="J6" s="4">
        <f>RANK(B6,B$6:B$18,0)</f>
        <v>6</v>
      </c>
      <c r="K6" s="4">
        <f>RANK(C6,C$6:C$18,1)</f>
        <v>6</v>
      </c>
      <c r="L6" s="4">
        <f>RANK(D6,D$6:D$18,1)</f>
        <v>11</v>
      </c>
      <c r="M6" s="4">
        <f t="shared" ref="M6:N18" si="0">RANK(E6,E$6:E$18,1)</f>
        <v>5</v>
      </c>
      <c r="N6" s="4">
        <f t="shared" si="0"/>
        <v>7</v>
      </c>
      <c r="O6" s="4">
        <f>RANK(G6,G$6:G$18,0)</f>
        <v>6</v>
      </c>
      <c r="P6" s="6">
        <f>AVERAGE(J6:O6)</f>
        <v>6.833333333333333</v>
      </c>
      <c r="Q6" s="4">
        <f>RANK(P6,P$6:P$18,1)</f>
        <v>7</v>
      </c>
    </row>
    <row r="7" spans="1:17" ht="15" thickBot="1" x14ac:dyDescent="0.35">
      <c r="A7" s="3" t="s">
        <v>8</v>
      </c>
      <c r="B7" s="4">
        <v>118198</v>
      </c>
      <c r="C7" s="4">
        <v>314</v>
      </c>
      <c r="D7" s="4">
        <v>205</v>
      </c>
      <c r="E7" s="4">
        <v>702</v>
      </c>
      <c r="F7" s="5">
        <v>0</v>
      </c>
      <c r="G7" s="6">
        <v>277.2876</v>
      </c>
      <c r="I7" s="3" t="s">
        <v>8</v>
      </c>
      <c r="J7" s="4">
        <f t="shared" ref="J7:J18" si="1">RANK(B7,B$6:B$18,0)</f>
        <v>7</v>
      </c>
      <c r="K7" s="4">
        <f t="shared" ref="K7:K18" si="2">RANK(C7,C$6:C$18,1)</f>
        <v>7</v>
      </c>
      <c r="L7" s="4">
        <f t="shared" ref="L7:L18" si="3">RANK(D7,D$6:D$18,1)</f>
        <v>9</v>
      </c>
      <c r="M7" s="4">
        <f t="shared" si="0"/>
        <v>7</v>
      </c>
      <c r="N7" s="4">
        <f t="shared" si="0"/>
        <v>1</v>
      </c>
      <c r="O7" s="4">
        <f t="shared" ref="O7:O18" si="4">RANK(G7,G$6:G$18,0)</f>
        <v>7</v>
      </c>
      <c r="P7" s="6">
        <f t="shared" ref="P7:P18" si="5">AVERAGE(J7:O7)</f>
        <v>6.333333333333333</v>
      </c>
      <c r="Q7" s="4">
        <f t="shared" ref="Q7:Q18" si="6">RANK(P7,P$6:P$18,1)</f>
        <v>6</v>
      </c>
    </row>
    <row r="8" spans="1:17" ht="15" thickBot="1" x14ac:dyDescent="0.35">
      <c r="A8" s="3" t="s">
        <v>9</v>
      </c>
      <c r="B8" s="4">
        <v>158949</v>
      </c>
      <c r="C8" s="4">
        <v>219</v>
      </c>
      <c r="D8" s="4">
        <v>214</v>
      </c>
      <c r="E8" s="4">
        <v>380</v>
      </c>
      <c r="F8" s="5">
        <v>1.166E-2</v>
      </c>
      <c r="G8" s="6">
        <v>397.14909999999998</v>
      </c>
      <c r="I8" s="3" t="s">
        <v>9</v>
      </c>
      <c r="J8" s="4">
        <f t="shared" si="1"/>
        <v>4</v>
      </c>
      <c r="K8" s="4">
        <f t="shared" si="2"/>
        <v>5</v>
      </c>
      <c r="L8" s="4">
        <f t="shared" si="3"/>
        <v>10</v>
      </c>
      <c r="M8" s="4">
        <f t="shared" si="0"/>
        <v>4</v>
      </c>
      <c r="N8" s="4">
        <f t="shared" si="0"/>
        <v>8</v>
      </c>
      <c r="O8" s="4">
        <f t="shared" si="4"/>
        <v>4</v>
      </c>
      <c r="P8" s="6">
        <f t="shared" si="5"/>
        <v>5.833333333333333</v>
      </c>
      <c r="Q8" s="4">
        <f t="shared" si="6"/>
        <v>5</v>
      </c>
    </row>
    <row r="9" spans="1:17" ht="15" thickBot="1" x14ac:dyDescent="0.35">
      <c r="A9" s="3" t="s">
        <v>10</v>
      </c>
      <c r="B9" s="4">
        <v>47892</v>
      </c>
      <c r="C9" s="4">
        <v>712</v>
      </c>
      <c r="D9" s="4">
        <v>65</v>
      </c>
      <c r="E9" s="4">
        <v>2371</v>
      </c>
      <c r="F9" s="5">
        <v>0.17354</v>
      </c>
      <c r="G9" s="6">
        <v>119.00703</v>
      </c>
      <c r="I9" s="3" t="s">
        <v>10</v>
      </c>
      <c r="J9" s="4">
        <f t="shared" si="1"/>
        <v>10</v>
      </c>
      <c r="K9" s="4">
        <f t="shared" si="2"/>
        <v>10</v>
      </c>
      <c r="L9" s="4">
        <f t="shared" si="3"/>
        <v>5</v>
      </c>
      <c r="M9" s="4">
        <f t="shared" si="0"/>
        <v>10</v>
      </c>
      <c r="N9" s="4">
        <f t="shared" si="0"/>
        <v>12</v>
      </c>
      <c r="O9" s="4">
        <f t="shared" si="4"/>
        <v>10</v>
      </c>
      <c r="P9" s="6">
        <f t="shared" si="5"/>
        <v>9.5</v>
      </c>
      <c r="Q9" s="4">
        <f t="shared" si="6"/>
        <v>9</v>
      </c>
    </row>
    <row r="10" spans="1:17" ht="15" thickBot="1" x14ac:dyDescent="0.35">
      <c r="A10" s="3" t="s">
        <v>11</v>
      </c>
      <c r="B10" s="4">
        <v>33903</v>
      </c>
      <c r="C10" s="4">
        <v>1119</v>
      </c>
      <c r="D10" s="4">
        <v>64</v>
      </c>
      <c r="E10" s="4">
        <v>3073</v>
      </c>
      <c r="F10" s="5">
        <v>3.9699999999999999E-2</v>
      </c>
      <c r="G10" s="6">
        <v>77.185770000000005</v>
      </c>
      <c r="I10" s="3" t="s">
        <v>11</v>
      </c>
      <c r="J10" s="4">
        <f t="shared" si="1"/>
        <v>13</v>
      </c>
      <c r="K10" s="4">
        <f t="shared" si="2"/>
        <v>13</v>
      </c>
      <c r="L10" s="4">
        <f t="shared" si="3"/>
        <v>3</v>
      </c>
      <c r="M10" s="4">
        <f t="shared" si="0"/>
        <v>11</v>
      </c>
      <c r="N10" s="4">
        <f t="shared" si="0"/>
        <v>10</v>
      </c>
      <c r="O10" s="4">
        <f t="shared" si="4"/>
        <v>13</v>
      </c>
      <c r="P10" s="6">
        <f t="shared" si="5"/>
        <v>10.5</v>
      </c>
      <c r="Q10" s="4">
        <f t="shared" si="6"/>
        <v>13</v>
      </c>
    </row>
    <row r="11" spans="1:17" ht="15" thickBot="1" x14ac:dyDescent="0.35">
      <c r="A11" s="3" t="s">
        <v>12</v>
      </c>
      <c r="B11" s="4">
        <v>44838</v>
      </c>
      <c r="C11" s="4">
        <v>848</v>
      </c>
      <c r="D11" s="4">
        <v>62</v>
      </c>
      <c r="E11" s="4">
        <v>3075</v>
      </c>
      <c r="F11" s="5">
        <v>5.0630000000000001E-2</v>
      </c>
      <c r="G11" s="6">
        <v>101.33705999999999</v>
      </c>
      <c r="I11" s="3" t="s">
        <v>12</v>
      </c>
      <c r="J11" s="4">
        <f t="shared" si="1"/>
        <v>12</v>
      </c>
      <c r="K11" s="4">
        <f t="shared" si="2"/>
        <v>12</v>
      </c>
      <c r="L11" s="4">
        <f t="shared" si="3"/>
        <v>2</v>
      </c>
      <c r="M11" s="4">
        <f t="shared" si="0"/>
        <v>12</v>
      </c>
      <c r="N11" s="4">
        <f t="shared" si="0"/>
        <v>11</v>
      </c>
      <c r="O11" s="4">
        <f t="shared" si="4"/>
        <v>12</v>
      </c>
      <c r="P11" s="6">
        <f t="shared" si="5"/>
        <v>10.166666666666666</v>
      </c>
      <c r="Q11" s="4">
        <f t="shared" si="6"/>
        <v>11</v>
      </c>
    </row>
    <row r="12" spans="1:17" ht="15" thickBot="1" x14ac:dyDescent="0.35">
      <c r="A12" s="3" t="s">
        <v>13</v>
      </c>
      <c r="B12" s="4">
        <v>46145</v>
      </c>
      <c r="C12" s="4">
        <v>761</v>
      </c>
      <c r="D12" s="4">
        <v>64</v>
      </c>
      <c r="E12" s="4">
        <v>4072</v>
      </c>
      <c r="F12" s="5">
        <v>3.0769999999999999E-2</v>
      </c>
      <c r="G12" s="6">
        <v>114.34171000000001</v>
      </c>
      <c r="I12" s="3" t="s">
        <v>13</v>
      </c>
      <c r="J12" s="4">
        <f t="shared" si="1"/>
        <v>11</v>
      </c>
      <c r="K12" s="4">
        <f t="shared" si="2"/>
        <v>11</v>
      </c>
      <c r="L12" s="4">
        <f t="shared" si="3"/>
        <v>3</v>
      </c>
      <c r="M12" s="4">
        <f t="shared" si="0"/>
        <v>13</v>
      </c>
      <c r="N12" s="4">
        <f t="shared" si="0"/>
        <v>9</v>
      </c>
      <c r="O12" s="4">
        <f t="shared" si="4"/>
        <v>11</v>
      </c>
      <c r="P12" s="6">
        <f t="shared" si="5"/>
        <v>9.6666666666666661</v>
      </c>
      <c r="Q12" s="4">
        <f t="shared" si="6"/>
        <v>10</v>
      </c>
    </row>
    <row r="13" spans="1:17" ht="15" thickBot="1" x14ac:dyDescent="0.35">
      <c r="A13" s="3" t="s">
        <v>14</v>
      </c>
      <c r="B13" s="4">
        <v>214716</v>
      </c>
      <c r="C13" s="4">
        <v>163</v>
      </c>
      <c r="D13" s="4">
        <v>158</v>
      </c>
      <c r="E13" s="4">
        <v>178</v>
      </c>
      <c r="F13" s="5">
        <v>0</v>
      </c>
      <c r="G13" s="6">
        <v>536.56464000000005</v>
      </c>
      <c r="I13" s="3" t="s">
        <v>14</v>
      </c>
      <c r="J13" s="4">
        <f t="shared" si="1"/>
        <v>3</v>
      </c>
      <c r="K13" s="4">
        <f t="shared" si="2"/>
        <v>3</v>
      </c>
      <c r="L13" s="4">
        <f t="shared" si="3"/>
        <v>8</v>
      </c>
      <c r="M13" s="4">
        <f t="shared" si="0"/>
        <v>2</v>
      </c>
      <c r="N13" s="4">
        <f t="shared" si="0"/>
        <v>1</v>
      </c>
      <c r="O13" s="4">
        <f t="shared" si="4"/>
        <v>3</v>
      </c>
      <c r="P13" s="6">
        <f t="shared" si="5"/>
        <v>3.3333333333333335</v>
      </c>
      <c r="Q13" s="4">
        <f t="shared" si="6"/>
        <v>3</v>
      </c>
    </row>
    <row r="14" spans="1:17" ht="15" thickBot="1" x14ac:dyDescent="0.35">
      <c r="A14" s="3" t="s">
        <v>15</v>
      </c>
      <c r="B14" s="4">
        <v>147590</v>
      </c>
      <c r="C14" s="4">
        <v>166</v>
      </c>
      <c r="D14" s="4">
        <v>155</v>
      </c>
      <c r="E14" s="4">
        <v>239</v>
      </c>
      <c r="F14" s="5">
        <v>1.1E-4</v>
      </c>
      <c r="G14" s="6">
        <v>368.12830000000002</v>
      </c>
      <c r="I14" s="3" t="s">
        <v>15</v>
      </c>
      <c r="J14" s="4">
        <f t="shared" si="1"/>
        <v>5</v>
      </c>
      <c r="K14" s="4">
        <f t="shared" si="2"/>
        <v>4</v>
      </c>
      <c r="L14" s="4">
        <f t="shared" si="3"/>
        <v>7</v>
      </c>
      <c r="M14" s="4">
        <f t="shared" si="0"/>
        <v>3</v>
      </c>
      <c r="N14" s="4">
        <f t="shared" si="0"/>
        <v>6</v>
      </c>
      <c r="O14" s="4">
        <f t="shared" si="4"/>
        <v>5</v>
      </c>
      <c r="P14" s="6">
        <f t="shared" si="5"/>
        <v>5</v>
      </c>
      <c r="Q14" s="4">
        <f t="shared" si="6"/>
        <v>4</v>
      </c>
    </row>
    <row r="15" spans="1:17" ht="15" thickBot="1" x14ac:dyDescent="0.35">
      <c r="A15" s="3" t="s">
        <v>16</v>
      </c>
      <c r="B15" s="4">
        <v>60121</v>
      </c>
      <c r="C15" s="4">
        <v>554</v>
      </c>
      <c r="D15" s="4">
        <v>313</v>
      </c>
      <c r="E15" s="4">
        <v>1813</v>
      </c>
      <c r="F15" s="5">
        <v>0.67278000000000004</v>
      </c>
      <c r="G15" s="6">
        <v>149.40791999999999</v>
      </c>
      <c r="I15" s="3" t="s">
        <v>16</v>
      </c>
      <c r="J15" s="4">
        <f t="shared" si="1"/>
        <v>9</v>
      </c>
      <c r="K15" s="4">
        <f t="shared" si="2"/>
        <v>9</v>
      </c>
      <c r="L15" s="4">
        <f t="shared" si="3"/>
        <v>12</v>
      </c>
      <c r="M15" s="4">
        <f t="shared" si="0"/>
        <v>9</v>
      </c>
      <c r="N15" s="4">
        <f t="shared" si="0"/>
        <v>13</v>
      </c>
      <c r="O15" s="4">
        <f t="shared" si="4"/>
        <v>9</v>
      </c>
      <c r="P15" s="6">
        <f t="shared" si="5"/>
        <v>10.166666666666666</v>
      </c>
      <c r="Q15" s="4">
        <f t="shared" si="6"/>
        <v>11</v>
      </c>
    </row>
    <row r="16" spans="1:17" ht="15" thickBot="1" x14ac:dyDescent="0.35">
      <c r="A16" s="3" t="s">
        <v>17</v>
      </c>
      <c r="B16" s="4">
        <v>78196</v>
      </c>
      <c r="C16" s="4">
        <v>448</v>
      </c>
      <c r="D16" s="4">
        <v>403</v>
      </c>
      <c r="E16" s="4">
        <v>783</v>
      </c>
      <c r="F16" s="5">
        <v>3.0000000000000001E-5</v>
      </c>
      <c r="G16" s="6">
        <v>195.41281000000001</v>
      </c>
      <c r="I16" s="3" t="s">
        <v>17</v>
      </c>
      <c r="J16" s="4">
        <f t="shared" si="1"/>
        <v>8</v>
      </c>
      <c r="K16" s="4">
        <f t="shared" si="2"/>
        <v>8</v>
      </c>
      <c r="L16" s="4">
        <f t="shared" si="3"/>
        <v>13</v>
      </c>
      <c r="M16" s="4">
        <f t="shared" si="0"/>
        <v>8</v>
      </c>
      <c r="N16" s="4">
        <f t="shared" si="0"/>
        <v>5</v>
      </c>
      <c r="O16" s="4">
        <f t="shared" si="4"/>
        <v>8</v>
      </c>
      <c r="P16" s="6">
        <f t="shared" si="5"/>
        <v>8.3333333333333339</v>
      </c>
      <c r="Q16" s="4">
        <f t="shared" si="6"/>
        <v>8</v>
      </c>
    </row>
    <row r="17" spans="1:17" ht="15" thickBot="1" x14ac:dyDescent="0.35">
      <c r="A17" s="3" t="s">
        <v>18</v>
      </c>
      <c r="B17" s="4">
        <v>302062</v>
      </c>
      <c r="C17" s="4">
        <v>115</v>
      </c>
      <c r="D17" s="4">
        <v>47</v>
      </c>
      <c r="E17" s="4">
        <v>661</v>
      </c>
      <c r="F17" s="5">
        <v>0</v>
      </c>
      <c r="G17" s="6">
        <v>754.77194999999995</v>
      </c>
      <c r="I17" s="3" t="s">
        <v>18</v>
      </c>
      <c r="J17" s="4">
        <f t="shared" si="1"/>
        <v>1</v>
      </c>
      <c r="K17" s="4">
        <f t="shared" si="2"/>
        <v>1</v>
      </c>
      <c r="L17" s="4">
        <f t="shared" si="3"/>
        <v>1</v>
      </c>
      <c r="M17" s="4">
        <f t="shared" si="0"/>
        <v>6</v>
      </c>
      <c r="N17" s="4">
        <f t="shared" si="0"/>
        <v>1</v>
      </c>
      <c r="O17" s="4">
        <f t="shared" si="4"/>
        <v>1</v>
      </c>
      <c r="P17" s="6">
        <f t="shared" si="5"/>
        <v>1.8333333333333333</v>
      </c>
      <c r="Q17" s="4">
        <f t="shared" si="6"/>
        <v>1</v>
      </c>
    </row>
    <row r="18" spans="1:17" ht="15" thickBot="1" x14ac:dyDescent="0.35">
      <c r="A18" s="3" t="s">
        <v>19</v>
      </c>
      <c r="B18" s="4">
        <v>244478</v>
      </c>
      <c r="C18" s="4">
        <v>143</v>
      </c>
      <c r="D18" s="4">
        <v>139</v>
      </c>
      <c r="E18" s="4">
        <v>160</v>
      </c>
      <c r="F18" s="5">
        <v>0</v>
      </c>
      <c r="G18" s="6">
        <v>610.95061999999996</v>
      </c>
      <c r="I18" s="3" t="s">
        <v>19</v>
      </c>
      <c r="J18" s="4">
        <f t="shared" si="1"/>
        <v>2</v>
      </c>
      <c r="K18" s="4">
        <f t="shared" si="2"/>
        <v>2</v>
      </c>
      <c r="L18" s="4">
        <f t="shared" si="3"/>
        <v>6</v>
      </c>
      <c r="M18" s="4">
        <f t="shared" si="0"/>
        <v>1</v>
      </c>
      <c r="N18" s="4">
        <f t="shared" si="0"/>
        <v>1</v>
      </c>
      <c r="O18" s="4">
        <f t="shared" si="4"/>
        <v>2</v>
      </c>
      <c r="P18" s="6">
        <f t="shared" si="5"/>
        <v>2.3333333333333335</v>
      </c>
      <c r="Q18" s="4">
        <f t="shared" si="6"/>
        <v>2</v>
      </c>
    </row>
  </sheetData>
  <mergeCells count="2">
    <mergeCell ref="A1:G1"/>
    <mergeCell ref="I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E21D4-423C-404D-88EE-E28E3D026BDE}">
  <dimension ref="A1:Q18"/>
  <sheetViews>
    <sheetView zoomScale="85" zoomScaleNormal="85" workbookViewId="0">
      <selection activeCell="Q3" sqref="Q3:Q5"/>
    </sheetView>
  </sheetViews>
  <sheetFormatPr defaultRowHeight="14.4" x14ac:dyDescent="0.3"/>
  <cols>
    <col min="1" max="1" width="15.44140625" customWidth="1"/>
    <col min="2" max="2" width="15.109375" customWidth="1"/>
    <col min="3" max="3" width="9.6640625" customWidth="1"/>
    <col min="4" max="4" width="10.33203125" customWidth="1"/>
    <col min="5" max="5" width="12.109375" customWidth="1"/>
    <col min="6" max="6" width="14.44140625" customWidth="1"/>
    <col min="7" max="7" width="13.77734375" customWidth="1"/>
    <col min="9" max="9" width="15.44140625" customWidth="1"/>
    <col min="10" max="10" width="15.109375" customWidth="1"/>
    <col min="11" max="11" width="9.6640625" customWidth="1"/>
    <col min="12" max="12" width="10.33203125" customWidth="1"/>
    <col min="13" max="13" width="12.109375" customWidth="1"/>
    <col min="14" max="14" width="14.44140625" customWidth="1"/>
    <col min="15" max="15" width="13.77734375" customWidth="1"/>
    <col min="16" max="16" width="14.109375" customWidth="1"/>
    <col min="17" max="17" width="11.88671875" customWidth="1"/>
  </cols>
  <sheetData>
    <row r="1" spans="1:17" ht="15" thickBot="1" x14ac:dyDescent="0.35">
      <c r="A1" s="17" t="s">
        <v>23</v>
      </c>
      <c r="B1" s="17"/>
      <c r="C1" s="17"/>
      <c r="D1" s="17"/>
      <c r="E1" s="17"/>
      <c r="F1" s="17"/>
      <c r="G1" s="17"/>
      <c r="I1" s="17" t="s">
        <v>24</v>
      </c>
      <c r="J1" s="17"/>
      <c r="K1" s="17"/>
      <c r="L1" s="17"/>
      <c r="M1" s="17"/>
      <c r="N1" s="17"/>
      <c r="O1" s="17"/>
      <c r="P1" s="17"/>
      <c r="Q1" s="17"/>
    </row>
    <row r="2" spans="1:17" ht="15" thickBot="1" x14ac:dyDescent="0.35">
      <c r="A2" s="1" t="s">
        <v>0</v>
      </c>
      <c r="B2" s="2" t="s">
        <v>1</v>
      </c>
      <c r="C2" s="2" t="s">
        <v>2</v>
      </c>
      <c r="D2" s="2" t="s">
        <v>3</v>
      </c>
      <c r="E2" s="1" t="s">
        <v>4</v>
      </c>
      <c r="F2" s="2" t="s">
        <v>5</v>
      </c>
      <c r="G2" s="2" t="s">
        <v>6</v>
      </c>
      <c r="I2" s="1" t="s">
        <v>0</v>
      </c>
      <c r="J2" s="2" t="s">
        <v>1</v>
      </c>
      <c r="K2" s="2" t="s">
        <v>2</v>
      </c>
      <c r="L2" s="2" t="s">
        <v>3</v>
      </c>
      <c r="M2" s="1" t="s">
        <v>4</v>
      </c>
      <c r="N2" s="2" t="s">
        <v>5</v>
      </c>
      <c r="O2" s="2" t="s">
        <v>6</v>
      </c>
      <c r="P2" s="2" t="s">
        <v>2</v>
      </c>
      <c r="Q2" s="2" t="s">
        <v>25</v>
      </c>
    </row>
    <row r="3" spans="1:17" ht="15" thickBot="1" x14ac:dyDescent="0.35">
      <c r="A3" s="3" t="s">
        <v>20</v>
      </c>
      <c r="B3" s="4"/>
      <c r="C3" s="4"/>
      <c r="D3" s="4"/>
      <c r="E3" s="4"/>
      <c r="F3" s="4"/>
      <c r="G3" s="4"/>
      <c r="I3" s="3" t="s">
        <v>20</v>
      </c>
      <c r="J3" s="4"/>
      <c r="K3" s="4"/>
      <c r="L3" s="4"/>
      <c r="M3" s="4"/>
      <c r="N3" s="4"/>
      <c r="O3" s="4"/>
      <c r="P3" s="4"/>
      <c r="Q3" s="4">
        <v>16</v>
      </c>
    </row>
    <row r="4" spans="1:17" ht="15" thickBot="1" x14ac:dyDescent="0.35">
      <c r="A4" s="3" t="s">
        <v>21</v>
      </c>
      <c r="B4" s="4"/>
      <c r="C4" s="4"/>
      <c r="D4" s="4"/>
      <c r="E4" s="4"/>
      <c r="F4" s="4"/>
      <c r="G4" s="4"/>
      <c r="I4" s="3" t="s">
        <v>21</v>
      </c>
      <c r="J4" s="4"/>
      <c r="K4" s="4"/>
      <c r="L4" s="4"/>
      <c r="M4" s="4"/>
      <c r="N4" s="4"/>
      <c r="O4" s="4"/>
      <c r="P4" s="4"/>
      <c r="Q4" s="4">
        <v>16</v>
      </c>
    </row>
    <row r="5" spans="1:17" ht="15" thickBot="1" x14ac:dyDescent="0.35">
      <c r="A5" s="3" t="s">
        <v>22</v>
      </c>
      <c r="B5" s="4"/>
      <c r="C5" s="4"/>
      <c r="D5" s="4"/>
      <c r="E5" s="4"/>
      <c r="F5" s="4"/>
      <c r="G5" s="4"/>
      <c r="I5" s="3" t="s">
        <v>22</v>
      </c>
      <c r="J5" s="4"/>
      <c r="K5" s="4"/>
      <c r="L5" s="4"/>
      <c r="M5" s="4"/>
      <c r="N5" s="4"/>
      <c r="O5" s="4"/>
      <c r="P5" s="4"/>
      <c r="Q5" s="4">
        <v>16</v>
      </c>
    </row>
    <row r="6" spans="1:17" ht="15" thickBot="1" x14ac:dyDescent="0.35">
      <c r="A6" s="3" t="s">
        <v>7</v>
      </c>
      <c r="B6" s="4">
        <v>20606</v>
      </c>
      <c r="C6" s="4">
        <v>1346</v>
      </c>
      <c r="D6" s="4">
        <v>1230</v>
      </c>
      <c r="E6" s="4">
        <v>2777</v>
      </c>
      <c r="F6" s="5">
        <v>0</v>
      </c>
      <c r="G6" s="6">
        <v>171.27421000000001</v>
      </c>
      <c r="I6" s="3" t="s">
        <v>7</v>
      </c>
      <c r="J6" s="4">
        <f>RANK(B6,B$6:B$18,0)</f>
        <v>10</v>
      </c>
      <c r="K6" s="4">
        <f>RANK(C6,C$6:C$18,1)</f>
        <v>7</v>
      </c>
      <c r="L6" s="4">
        <f>RANK(D6,D$6:D$18,1)</f>
        <v>7</v>
      </c>
      <c r="M6" s="4">
        <f t="shared" ref="M6:N18" si="0">RANK(E6,E$6:E$18,1)</f>
        <v>11</v>
      </c>
      <c r="N6" s="4">
        <f t="shared" si="0"/>
        <v>1</v>
      </c>
      <c r="O6" s="4">
        <f>RANK(G6,G$6:G$18,0)</f>
        <v>10</v>
      </c>
      <c r="P6" s="6">
        <f>AVERAGE(J6:O6)</f>
        <v>7.666666666666667</v>
      </c>
      <c r="Q6" s="4">
        <f>RANK(P6,P$6:P$18,1)</f>
        <v>7</v>
      </c>
    </row>
    <row r="7" spans="1:17" ht="15" thickBot="1" x14ac:dyDescent="0.35">
      <c r="A7" s="3" t="s">
        <v>8</v>
      </c>
      <c r="B7" s="4">
        <v>6073</v>
      </c>
      <c r="C7" s="4">
        <v>9426</v>
      </c>
      <c r="D7" s="4">
        <v>1616</v>
      </c>
      <c r="E7" s="4">
        <v>21059</v>
      </c>
      <c r="F7" s="5">
        <v>0.26478000000000002</v>
      </c>
      <c r="G7" s="6">
        <v>27.680540000000001</v>
      </c>
      <c r="I7" s="3" t="s">
        <v>8</v>
      </c>
      <c r="J7" s="4">
        <f t="shared" ref="J7:J18" si="1">RANK(B7,B$6:B$18,0)</f>
        <v>12</v>
      </c>
      <c r="K7" s="4">
        <f t="shared" ref="K7:L18" si="2">RANK(C7,C$6:C$18,1)</f>
        <v>13</v>
      </c>
      <c r="L7" s="4">
        <f t="shared" si="2"/>
        <v>9</v>
      </c>
      <c r="M7" s="4">
        <f t="shared" si="0"/>
        <v>13</v>
      </c>
      <c r="N7" s="4">
        <f t="shared" si="0"/>
        <v>7</v>
      </c>
      <c r="O7" s="4">
        <f t="shared" ref="O7:O18" si="3">RANK(G7,G$6:G$18,0)</f>
        <v>13</v>
      </c>
      <c r="P7" s="6">
        <f t="shared" ref="P7:P18" si="4">AVERAGE(J7:O7)</f>
        <v>11.166666666666666</v>
      </c>
      <c r="Q7" s="4">
        <f t="shared" ref="Q7:Q18" si="5">RANK(P7,P$6:P$18,1)</f>
        <v>12</v>
      </c>
    </row>
    <row r="8" spans="1:17" ht="15" thickBot="1" x14ac:dyDescent="0.35">
      <c r="A8" s="3" t="s">
        <v>9</v>
      </c>
      <c r="B8" s="4">
        <v>33934</v>
      </c>
      <c r="C8" s="4">
        <v>991</v>
      </c>
      <c r="D8" s="4">
        <v>1286</v>
      </c>
      <c r="E8" s="4">
        <v>2239</v>
      </c>
      <c r="F8" s="5">
        <v>0.27916000000000002</v>
      </c>
      <c r="G8" s="6">
        <v>281.17827</v>
      </c>
      <c r="I8" s="3" t="s">
        <v>9</v>
      </c>
      <c r="J8" s="4">
        <f t="shared" si="1"/>
        <v>6</v>
      </c>
      <c r="K8" s="4">
        <f t="shared" si="2"/>
        <v>6</v>
      </c>
      <c r="L8" s="4">
        <f t="shared" si="2"/>
        <v>8</v>
      </c>
      <c r="M8" s="4">
        <f t="shared" si="0"/>
        <v>6</v>
      </c>
      <c r="N8" s="4">
        <f t="shared" si="0"/>
        <v>8</v>
      </c>
      <c r="O8" s="4">
        <f t="shared" si="3"/>
        <v>6</v>
      </c>
      <c r="P8" s="6">
        <f t="shared" si="4"/>
        <v>6.666666666666667</v>
      </c>
      <c r="Q8" s="4">
        <f t="shared" si="5"/>
        <v>6</v>
      </c>
    </row>
    <row r="9" spans="1:17" ht="15" thickBot="1" x14ac:dyDescent="0.35">
      <c r="A9" s="3" t="s">
        <v>10</v>
      </c>
      <c r="B9" s="4">
        <v>21149</v>
      </c>
      <c r="C9" s="4">
        <v>1686</v>
      </c>
      <c r="D9" s="4">
        <v>2293</v>
      </c>
      <c r="E9" s="4">
        <v>2624</v>
      </c>
      <c r="F9" s="5">
        <v>0.58706999999999998</v>
      </c>
      <c r="G9" s="6">
        <v>175.80362</v>
      </c>
      <c r="I9" s="3" t="s">
        <v>10</v>
      </c>
      <c r="J9" s="4">
        <f t="shared" si="1"/>
        <v>9</v>
      </c>
      <c r="K9" s="4">
        <f t="shared" si="2"/>
        <v>10</v>
      </c>
      <c r="L9" s="4">
        <f t="shared" si="2"/>
        <v>12</v>
      </c>
      <c r="M9" s="4">
        <f t="shared" si="0"/>
        <v>10</v>
      </c>
      <c r="N9" s="4">
        <f t="shared" si="0"/>
        <v>11</v>
      </c>
      <c r="O9" s="4">
        <f t="shared" si="3"/>
        <v>9</v>
      </c>
      <c r="P9" s="6">
        <f t="shared" si="4"/>
        <v>10.166666666666666</v>
      </c>
      <c r="Q9" s="4">
        <f t="shared" si="5"/>
        <v>11</v>
      </c>
    </row>
    <row r="10" spans="1:17" ht="15" thickBot="1" x14ac:dyDescent="0.35">
      <c r="A10" s="3" t="s">
        <v>11</v>
      </c>
      <c r="B10" s="4">
        <v>18343</v>
      </c>
      <c r="C10" s="4">
        <v>1834</v>
      </c>
      <c r="D10" s="4">
        <v>2301</v>
      </c>
      <c r="E10" s="4">
        <v>2612</v>
      </c>
      <c r="F10" s="5">
        <v>0.63048999999999999</v>
      </c>
      <c r="G10" s="6">
        <v>151.8586</v>
      </c>
      <c r="I10" s="3" t="s">
        <v>11</v>
      </c>
      <c r="J10" s="4">
        <f t="shared" si="1"/>
        <v>11</v>
      </c>
      <c r="K10" s="4">
        <f t="shared" si="2"/>
        <v>11</v>
      </c>
      <c r="L10" s="4">
        <f t="shared" si="2"/>
        <v>13</v>
      </c>
      <c r="M10" s="4">
        <f t="shared" si="0"/>
        <v>9</v>
      </c>
      <c r="N10" s="4">
        <f t="shared" si="0"/>
        <v>13</v>
      </c>
      <c r="O10" s="4">
        <f t="shared" si="3"/>
        <v>11</v>
      </c>
      <c r="P10" s="6">
        <f t="shared" si="4"/>
        <v>11.333333333333334</v>
      </c>
      <c r="Q10" s="4">
        <f t="shared" si="5"/>
        <v>13</v>
      </c>
    </row>
    <row r="11" spans="1:17" ht="15" thickBot="1" x14ac:dyDescent="0.35">
      <c r="A11" s="3" t="s">
        <v>12</v>
      </c>
      <c r="B11" s="4">
        <v>21477</v>
      </c>
      <c r="C11" s="4">
        <v>1657</v>
      </c>
      <c r="D11" s="4">
        <v>2279</v>
      </c>
      <c r="E11" s="4">
        <v>2326</v>
      </c>
      <c r="F11" s="5">
        <v>0.60855999999999999</v>
      </c>
      <c r="G11" s="6">
        <v>177.71764999999999</v>
      </c>
      <c r="I11" s="3" t="s">
        <v>12</v>
      </c>
      <c r="J11" s="4">
        <f t="shared" si="1"/>
        <v>8</v>
      </c>
      <c r="K11" s="4">
        <f t="shared" si="2"/>
        <v>9</v>
      </c>
      <c r="L11" s="4">
        <f t="shared" si="2"/>
        <v>11</v>
      </c>
      <c r="M11" s="4">
        <f t="shared" si="0"/>
        <v>7</v>
      </c>
      <c r="N11" s="4">
        <f t="shared" si="0"/>
        <v>12</v>
      </c>
      <c r="O11" s="4">
        <f t="shared" si="3"/>
        <v>8</v>
      </c>
      <c r="P11" s="6">
        <f t="shared" si="4"/>
        <v>9.1666666666666661</v>
      </c>
      <c r="Q11" s="4">
        <f t="shared" si="5"/>
        <v>9</v>
      </c>
    </row>
    <row r="12" spans="1:17" ht="15" thickBot="1" x14ac:dyDescent="0.35">
      <c r="A12" s="3" t="s">
        <v>13</v>
      </c>
      <c r="B12" s="4">
        <v>24468</v>
      </c>
      <c r="C12" s="4">
        <v>1469</v>
      </c>
      <c r="D12" s="4">
        <v>2271</v>
      </c>
      <c r="E12" s="4">
        <v>2326</v>
      </c>
      <c r="F12" s="5">
        <v>0.53383999999999998</v>
      </c>
      <c r="G12" s="6">
        <v>201.27834999999999</v>
      </c>
      <c r="I12" s="3" t="s">
        <v>13</v>
      </c>
      <c r="J12" s="4">
        <f t="shared" si="1"/>
        <v>7</v>
      </c>
      <c r="K12" s="4">
        <f t="shared" si="2"/>
        <v>8</v>
      </c>
      <c r="L12" s="4">
        <f t="shared" si="2"/>
        <v>10</v>
      </c>
      <c r="M12" s="4">
        <f t="shared" si="0"/>
        <v>7</v>
      </c>
      <c r="N12" s="4">
        <f t="shared" si="0"/>
        <v>10</v>
      </c>
      <c r="O12" s="4">
        <f t="shared" si="3"/>
        <v>7</v>
      </c>
      <c r="P12" s="6">
        <f t="shared" si="4"/>
        <v>8.1666666666666661</v>
      </c>
      <c r="Q12" s="4">
        <f t="shared" si="5"/>
        <v>8</v>
      </c>
    </row>
    <row r="13" spans="1:17" ht="15" thickBot="1" x14ac:dyDescent="0.35">
      <c r="A13" s="3" t="s">
        <v>14</v>
      </c>
      <c r="B13" s="4">
        <v>51326</v>
      </c>
      <c r="C13" s="4">
        <v>683</v>
      </c>
      <c r="D13" s="4">
        <v>451</v>
      </c>
      <c r="E13" s="4">
        <v>2120</v>
      </c>
      <c r="F13" s="5">
        <v>2.3400000000000001E-3</v>
      </c>
      <c r="G13" s="6">
        <v>426.82744000000002</v>
      </c>
      <c r="I13" s="3" t="s">
        <v>14</v>
      </c>
      <c r="J13" s="4">
        <f t="shared" si="1"/>
        <v>2</v>
      </c>
      <c r="K13" s="4">
        <f t="shared" si="2"/>
        <v>3</v>
      </c>
      <c r="L13" s="4">
        <f t="shared" si="2"/>
        <v>4</v>
      </c>
      <c r="M13" s="4">
        <f t="shared" si="0"/>
        <v>5</v>
      </c>
      <c r="N13" s="4">
        <f t="shared" si="0"/>
        <v>6</v>
      </c>
      <c r="O13" s="4">
        <f t="shared" si="3"/>
        <v>2</v>
      </c>
      <c r="P13" s="6">
        <f t="shared" si="4"/>
        <v>3.6666666666666665</v>
      </c>
      <c r="Q13" s="4">
        <f t="shared" si="5"/>
        <v>4</v>
      </c>
    </row>
    <row r="14" spans="1:17" ht="15" thickBot="1" x14ac:dyDescent="0.35">
      <c r="A14" s="3" t="s">
        <v>15</v>
      </c>
      <c r="B14" s="4">
        <v>49458</v>
      </c>
      <c r="C14" s="4">
        <v>622</v>
      </c>
      <c r="D14" s="4">
        <v>407</v>
      </c>
      <c r="E14" s="4">
        <v>1783</v>
      </c>
      <c r="F14" s="5">
        <v>0</v>
      </c>
      <c r="G14" s="6">
        <v>411.47107</v>
      </c>
      <c r="I14" s="3" t="s">
        <v>15</v>
      </c>
      <c r="J14" s="4">
        <f t="shared" si="1"/>
        <v>3</v>
      </c>
      <c r="K14" s="4">
        <f t="shared" si="2"/>
        <v>2</v>
      </c>
      <c r="L14" s="4">
        <f t="shared" si="2"/>
        <v>3</v>
      </c>
      <c r="M14" s="4">
        <f t="shared" si="0"/>
        <v>3</v>
      </c>
      <c r="N14" s="4">
        <f t="shared" si="0"/>
        <v>1</v>
      </c>
      <c r="O14" s="4">
        <f t="shared" si="3"/>
        <v>3</v>
      </c>
      <c r="P14" s="6">
        <f t="shared" si="4"/>
        <v>2.5</v>
      </c>
      <c r="Q14" s="4">
        <f t="shared" si="5"/>
        <v>2</v>
      </c>
    </row>
    <row r="15" spans="1:17" ht="15" thickBot="1" x14ac:dyDescent="0.35">
      <c r="A15" s="3" t="s">
        <v>16</v>
      </c>
      <c r="B15" s="4">
        <v>97507</v>
      </c>
      <c r="C15" s="4">
        <v>364</v>
      </c>
      <c r="D15" s="4">
        <v>258</v>
      </c>
      <c r="E15" s="4">
        <v>677</v>
      </c>
      <c r="F15" s="5">
        <v>0</v>
      </c>
      <c r="G15" s="6">
        <v>810.63307999999995</v>
      </c>
      <c r="I15" s="3" t="s">
        <v>16</v>
      </c>
      <c r="J15" s="4">
        <f t="shared" si="1"/>
        <v>1</v>
      </c>
      <c r="K15" s="4">
        <f t="shared" si="2"/>
        <v>1</v>
      </c>
      <c r="L15" s="4">
        <f t="shared" si="2"/>
        <v>2</v>
      </c>
      <c r="M15" s="4">
        <f t="shared" si="0"/>
        <v>1</v>
      </c>
      <c r="N15" s="4">
        <f t="shared" si="0"/>
        <v>1</v>
      </c>
      <c r="O15" s="4">
        <f t="shared" si="3"/>
        <v>1</v>
      </c>
      <c r="P15" s="6">
        <f t="shared" si="4"/>
        <v>1.1666666666666667</v>
      </c>
      <c r="Q15" s="4">
        <f t="shared" si="5"/>
        <v>1</v>
      </c>
    </row>
    <row r="16" spans="1:17" ht="15" thickBot="1" x14ac:dyDescent="0.35">
      <c r="A16" s="3" t="s">
        <v>17</v>
      </c>
      <c r="B16" s="4">
        <v>43762</v>
      </c>
      <c r="C16" s="4">
        <v>813</v>
      </c>
      <c r="D16" s="4">
        <v>885</v>
      </c>
      <c r="E16" s="4">
        <v>1311</v>
      </c>
      <c r="F16" s="5">
        <v>0</v>
      </c>
      <c r="G16" s="6">
        <v>364.32810999999998</v>
      </c>
      <c r="I16" s="3" t="s">
        <v>17</v>
      </c>
      <c r="J16" s="4">
        <f t="shared" si="1"/>
        <v>4</v>
      </c>
      <c r="K16" s="4">
        <f t="shared" si="2"/>
        <v>4</v>
      </c>
      <c r="L16" s="4">
        <f t="shared" si="2"/>
        <v>6</v>
      </c>
      <c r="M16" s="4">
        <f t="shared" si="0"/>
        <v>2</v>
      </c>
      <c r="N16" s="4">
        <f t="shared" si="0"/>
        <v>1</v>
      </c>
      <c r="O16" s="4">
        <f t="shared" si="3"/>
        <v>4</v>
      </c>
      <c r="P16" s="6">
        <f t="shared" si="4"/>
        <v>3.5</v>
      </c>
      <c r="Q16" s="4">
        <f t="shared" si="5"/>
        <v>3</v>
      </c>
    </row>
    <row r="17" spans="1:17" ht="15" thickBot="1" x14ac:dyDescent="0.35">
      <c r="A17" s="3" t="s">
        <v>18</v>
      </c>
      <c r="B17" s="4">
        <v>5068</v>
      </c>
      <c r="C17" s="4">
        <v>8382</v>
      </c>
      <c r="D17" s="4">
        <v>195</v>
      </c>
      <c r="E17" s="4">
        <v>21053</v>
      </c>
      <c r="F17" s="5">
        <v>0.39462999999999998</v>
      </c>
      <c r="G17" s="6">
        <v>42.167270000000002</v>
      </c>
      <c r="I17" s="3" t="s">
        <v>18</v>
      </c>
      <c r="J17" s="4">
        <f t="shared" si="1"/>
        <v>13</v>
      </c>
      <c r="K17" s="4">
        <f t="shared" si="2"/>
        <v>12</v>
      </c>
      <c r="L17" s="4">
        <f t="shared" si="2"/>
        <v>1</v>
      </c>
      <c r="M17" s="4">
        <f t="shared" si="0"/>
        <v>12</v>
      </c>
      <c r="N17" s="4">
        <f t="shared" si="0"/>
        <v>9</v>
      </c>
      <c r="O17" s="4">
        <f t="shared" si="3"/>
        <v>12</v>
      </c>
      <c r="P17" s="6">
        <f t="shared" si="4"/>
        <v>9.8333333333333339</v>
      </c>
      <c r="Q17" s="4">
        <f t="shared" si="5"/>
        <v>10</v>
      </c>
    </row>
    <row r="18" spans="1:17" ht="15" thickBot="1" x14ac:dyDescent="0.35">
      <c r="A18" s="3" t="s">
        <v>19</v>
      </c>
      <c r="B18" s="4">
        <v>40798</v>
      </c>
      <c r="C18" s="4">
        <v>873</v>
      </c>
      <c r="D18" s="4">
        <v>646</v>
      </c>
      <c r="E18" s="4">
        <v>1888</v>
      </c>
      <c r="F18" s="5">
        <v>0</v>
      </c>
      <c r="G18" s="6">
        <v>339.74833999999998</v>
      </c>
      <c r="I18" s="3" t="s">
        <v>19</v>
      </c>
      <c r="J18" s="4">
        <f t="shared" si="1"/>
        <v>5</v>
      </c>
      <c r="K18" s="4">
        <f t="shared" si="2"/>
        <v>5</v>
      </c>
      <c r="L18" s="4">
        <f t="shared" si="2"/>
        <v>5</v>
      </c>
      <c r="M18" s="4">
        <f t="shared" si="0"/>
        <v>4</v>
      </c>
      <c r="N18" s="4">
        <f t="shared" si="0"/>
        <v>1</v>
      </c>
      <c r="O18" s="4">
        <f t="shared" si="3"/>
        <v>5</v>
      </c>
      <c r="P18" s="6">
        <f t="shared" si="4"/>
        <v>4.166666666666667</v>
      </c>
      <c r="Q18" s="4">
        <f t="shared" si="5"/>
        <v>5</v>
      </c>
    </row>
  </sheetData>
  <mergeCells count="2">
    <mergeCell ref="A1:G1"/>
    <mergeCell ref="I1: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B1CD2-28F4-4EED-BCA4-C90E8A4FCE0B}">
  <dimension ref="A1:O18"/>
  <sheetViews>
    <sheetView zoomScaleNormal="100" workbookViewId="0">
      <selection activeCell="O6" sqref="O6"/>
    </sheetView>
  </sheetViews>
  <sheetFormatPr defaultRowHeight="14.4" x14ac:dyDescent="0.3"/>
  <cols>
    <col min="1" max="1" width="15.44140625" customWidth="1"/>
    <col min="2" max="2" width="15.109375" customWidth="1"/>
    <col min="3" max="3" width="9.6640625" customWidth="1"/>
    <col min="4" max="4" width="10.33203125" customWidth="1"/>
    <col min="5" max="5" width="12.109375" customWidth="1"/>
    <col min="6" max="6" width="14.44140625" customWidth="1"/>
    <col min="8" max="8" width="15.44140625" customWidth="1"/>
    <col min="9" max="9" width="15.109375" customWidth="1"/>
    <col min="10" max="10" width="9.6640625" customWidth="1"/>
    <col min="11" max="11" width="10.33203125" customWidth="1"/>
    <col min="12" max="12" width="12.109375" customWidth="1"/>
    <col min="13" max="13" width="14.44140625" customWidth="1"/>
    <col min="14" max="14" width="14.109375" customWidth="1"/>
    <col min="15" max="15" width="11.88671875" customWidth="1"/>
  </cols>
  <sheetData>
    <row r="1" spans="1:15" ht="15" thickBot="1" x14ac:dyDescent="0.35">
      <c r="A1" s="17" t="s">
        <v>26</v>
      </c>
      <c r="B1" s="17"/>
      <c r="C1" s="17"/>
      <c r="D1" s="17"/>
      <c r="E1" s="17"/>
      <c r="F1" s="17"/>
      <c r="H1" s="17" t="s">
        <v>24</v>
      </c>
      <c r="I1" s="17"/>
      <c r="J1" s="17"/>
      <c r="K1" s="17"/>
      <c r="L1" s="17"/>
      <c r="M1" s="17"/>
      <c r="N1" s="17"/>
      <c r="O1" s="17"/>
    </row>
    <row r="2" spans="1:15" ht="15" thickBot="1" x14ac:dyDescent="0.35">
      <c r="A2" s="1" t="s">
        <v>0</v>
      </c>
      <c r="B2" s="2" t="s">
        <v>27</v>
      </c>
      <c r="C2" s="2" t="s">
        <v>28</v>
      </c>
      <c r="D2" s="2" t="s">
        <v>29</v>
      </c>
      <c r="E2" s="1" t="s">
        <v>30</v>
      </c>
      <c r="F2" s="2" t="s">
        <v>31</v>
      </c>
      <c r="H2" s="1" t="s">
        <v>0</v>
      </c>
      <c r="I2" s="2" t="s">
        <v>27</v>
      </c>
      <c r="J2" s="2" t="s">
        <v>28</v>
      </c>
      <c r="K2" s="2" t="s">
        <v>29</v>
      </c>
      <c r="L2" s="1" t="s">
        <v>30</v>
      </c>
      <c r="M2" s="2" t="s">
        <v>31</v>
      </c>
      <c r="N2" s="2" t="s">
        <v>2</v>
      </c>
      <c r="O2" s="2" t="s">
        <v>25</v>
      </c>
    </row>
    <row r="3" spans="1:15" ht="15" thickBot="1" x14ac:dyDescent="0.35">
      <c r="A3" s="3" t="s">
        <v>20</v>
      </c>
      <c r="B3" s="6">
        <v>897.75019999999995</v>
      </c>
      <c r="C3" s="6">
        <v>323.22320000000013</v>
      </c>
      <c r="D3" s="6">
        <v>652.05089999999996</v>
      </c>
      <c r="E3" s="6">
        <v>1171.1977999999999</v>
      </c>
      <c r="F3" s="6">
        <v>156.70169999999999</v>
      </c>
      <c r="H3" s="3" t="s">
        <v>20</v>
      </c>
      <c r="I3" s="4">
        <f>RANK(B3,B$3:B$18,1)</f>
        <v>9</v>
      </c>
      <c r="J3" s="4">
        <f t="shared" ref="J3:L18" si="0">RANK(C3,C$3:C$18,1)</f>
        <v>14</v>
      </c>
      <c r="K3" s="4">
        <f t="shared" si="0"/>
        <v>11</v>
      </c>
      <c r="L3" s="4">
        <f t="shared" si="0"/>
        <v>11</v>
      </c>
      <c r="M3" s="4">
        <f>RANK(F3,F$3:F$18,1)</f>
        <v>10</v>
      </c>
      <c r="N3" s="6">
        <f>AVERAGE(I3:M3)</f>
        <v>11</v>
      </c>
      <c r="O3" s="4">
        <f>RANK(N3,N$3:N$18,1)</f>
        <v>11</v>
      </c>
    </row>
    <row r="4" spans="1:15" ht="15" thickBot="1" x14ac:dyDescent="0.35">
      <c r="A4" s="3" t="s">
        <v>21</v>
      </c>
      <c r="B4" s="6">
        <v>655.71250000000009</v>
      </c>
      <c r="C4" s="6">
        <v>205.03790000000001</v>
      </c>
      <c r="D4" s="6">
        <v>502.63639999999998</v>
      </c>
      <c r="E4" s="6">
        <v>772.10719999999992</v>
      </c>
      <c r="F4" s="6">
        <v>125.94989999999999</v>
      </c>
      <c r="H4" s="3" t="s">
        <v>21</v>
      </c>
      <c r="I4" s="4">
        <f t="shared" ref="I4:I18" si="1">RANK(B4,B$3:B$18,1)</f>
        <v>5</v>
      </c>
      <c r="J4" s="4">
        <f t="shared" si="0"/>
        <v>7</v>
      </c>
      <c r="K4" s="4">
        <f t="shared" si="0"/>
        <v>7</v>
      </c>
      <c r="L4" s="4">
        <f t="shared" si="0"/>
        <v>6</v>
      </c>
      <c r="M4" s="4">
        <f t="shared" ref="M4:M18" si="2">RANK(F4,F$3:F$18,1)</f>
        <v>8</v>
      </c>
      <c r="N4" s="6">
        <f t="shared" ref="N4:N18" si="3">AVERAGE(I4:M4)</f>
        <v>6.6</v>
      </c>
      <c r="O4" s="4">
        <f t="shared" ref="O4:O18" si="4">RANK(N4,N$3:N$18,1)</f>
        <v>6</v>
      </c>
    </row>
    <row r="5" spans="1:15" ht="15" thickBot="1" x14ac:dyDescent="0.35">
      <c r="A5" s="3" t="s">
        <v>22</v>
      </c>
      <c r="B5" s="6">
        <v>830.18889999999988</v>
      </c>
      <c r="C5" s="6">
        <v>285.25689999999997</v>
      </c>
      <c r="D5" s="6">
        <v>603.1902</v>
      </c>
      <c r="E5" s="6">
        <v>1049.2606000000001</v>
      </c>
      <c r="F5" s="6">
        <v>141.00429999999997</v>
      </c>
      <c r="H5" s="3" t="s">
        <v>22</v>
      </c>
      <c r="I5" s="4">
        <f t="shared" si="1"/>
        <v>7</v>
      </c>
      <c r="J5" s="4">
        <f t="shared" si="0"/>
        <v>11</v>
      </c>
      <c r="K5" s="4">
        <f t="shared" si="0"/>
        <v>10</v>
      </c>
      <c r="L5" s="4">
        <f t="shared" si="0"/>
        <v>8</v>
      </c>
      <c r="M5" s="4">
        <f t="shared" si="2"/>
        <v>9</v>
      </c>
      <c r="N5" s="6">
        <f t="shared" si="3"/>
        <v>9</v>
      </c>
      <c r="O5" s="4">
        <f t="shared" si="4"/>
        <v>9</v>
      </c>
    </row>
    <row r="6" spans="1:15" ht="15" thickBot="1" x14ac:dyDescent="0.35">
      <c r="A6" s="3" t="s">
        <v>7</v>
      </c>
      <c r="B6" s="6">
        <v>826.23490000000038</v>
      </c>
      <c r="C6" s="6">
        <v>423.44590000000005</v>
      </c>
      <c r="D6" s="6">
        <v>583.13449999999978</v>
      </c>
      <c r="E6" s="6">
        <v>1166.4338999999991</v>
      </c>
      <c r="F6" s="6">
        <v>165.16549999999995</v>
      </c>
      <c r="H6" s="3" t="s">
        <v>7</v>
      </c>
      <c r="I6" s="4">
        <f t="shared" si="1"/>
        <v>6</v>
      </c>
      <c r="J6" s="4">
        <f t="shared" si="0"/>
        <v>16</v>
      </c>
      <c r="K6" s="4">
        <f t="shared" si="0"/>
        <v>9</v>
      </c>
      <c r="L6" s="4">
        <f t="shared" si="0"/>
        <v>10</v>
      </c>
      <c r="M6" s="4">
        <f t="shared" si="2"/>
        <v>11</v>
      </c>
      <c r="N6" s="6">
        <f t="shared" si="3"/>
        <v>10.4</v>
      </c>
      <c r="O6" s="4">
        <f t="shared" si="4"/>
        <v>10</v>
      </c>
    </row>
    <row r="7" spans="1:15" ht="15" thickBot="1" x14ac:dyDescent="0.35">
      <c r="A7" s="3" t="s">
        <v>8</v>
      </c>
      <c r="B7" s="6">
        <v>646.60620000000006</v>
      </c>
      <c r="C7" s="6">
        <v>234.5814</v>
      </c>
      <c r="D7" s="6">
        <v>571.13220000000013</v>
      </c>
      <c r="E7" s="6">
        <v>997.09100000000001</v>
      </c>
      <c r="F7" s="6">
        <v>99.069099999999978</v>
      </c>
      <c r="H7" s="3" t="s">
        <v>8</v>
      </c>
      <c r="I7" s="4">
        <f t="shared" si="1"/>
        <v>4</v>
      </c>
      <c r="J7" s="4">
        <f t="shared" si="0"/>
        <v>8</v>
      </c>
      <c r="K7" s="4">
        <f t="shared" si="0"/>
        <v>8</v>
      </c>
      <c r="L7" s="4">
        <f t="shared" si="0"/>
        <v>7</v>
      </c>
      <c r="M7" s="4">
        <f t="shared" si="2"/>
        <v>7</v>
      </c>
      <c r="N7" s="6">
        <f t="shared" si="3"/>
        <v>6.8</v>
      </c>
      <c r="O7" s="4">
        <f t="shared" si="4"/>
        <v>7</v>
      </c>
    </row>
    <row r="8" spans="1:15" ht="15" thickBot="1" x14ac:dyDescent="0.35">
      <c r="A8" s="3" t="s">
        <v>9</v>
      </c>
      <c r="B8" s="6">
        <v>1114.7189999999996</v>
      </c>
      <c r="C8" s="6">
        <v>287.82229999999998</v>
      </c>
      <c r="D8" s="6">
        <v>791.00069999999994</v>
      </c>
      <c r="E8" s="6">
        <v>1410.5583000000004</v>
      </c>
      <c r="F8" s="6">
        <v>184.21020000000001</v>
      </c>
      <c r="H8" s="3" t="s">
        <v>9</v>
      </c>
      <c r="I8" s="4">
        <f t="shared" si="1"/>
        <v>12</v>
      </c>
      <c r="J8" s="4">
        <f t="shared" si="0"/>
        <v>12</v>
      </c>
      <c r="K8" s="4">
        <f t="shared" si="0"/>
        <v>12</v>
      </c>
      <c r="L8" s="4">
        <f t="shared" si="0"/>
        <v>12</v>
      </c>
      <c r="M8" s="4">
        <f t="shared" si="2"/>
        <v>14</v>
      </c>
      <c r="N8" s="6">
        <f t="shared" si="3"/>
        <v>12.4</v>
      </c>
      <c r="O8" s="4">
        <f t="shared" si="4"/>
        <v>13</v>
      </c>
    </row>
    <row r="9" spans="1:15" ht="15" thickBot="1" x14ac:dyDescent="0.35">
      <c r="A9" s="3" t="s">
        <v>10</v>
      </c>
      <c r="B9" s="6">
        <v>1131.6865999999998</v>
      </c>
      <c r="C9" s="6">
        <v>283.36900000000003</v>
      </c>
      <c r="D9" s="6">
        <v>1509.6832999999999</v>
      </c>
      <c r="E9" s="6">
        <v>1612.9890999999996</v>
      </c>
      <c r="F9" s="6">
        <v>191.05139999999994</v>
      </c>
      <c r="H9" s="3" t="s">
        <v>10</v>
      </c>
      <c r="I9" s="4">
        <f t="shared" si="1"/>
        <v>13</v>
      </c>
      <c r="J9" s="4">
        <f t="shared" si="0"/>
        <v>10</v>
      </c>
      <c r="K9" s="4">
        <f t="shared" si="0"/>
        <v>14</v>
      </c>
      <c r="L9" s="4">
        <f t="shared" si="0"/>
        <v>13</v>
      </c>
      <c r="M9" s="4">
        <f t="shared" si="2"/>
        <v>15</v>
      </c>
      <c r="N9" s="6">
        <f t="shared" si="3"/>
        <v>13</v>
      </c>
      <c r="O9" s="4">
        <f t="shared" si="4"/>
        <v>14</v>
      </c>
    </row>
    <row r="10" spans="1:15" ht="15" thickBot="1" x14ac:dyDescent="0.35">
      <c r="A10" s="3" t="s">
        <v>11</v>
      </c>
      <c r="B10" s="6">
        <v>1082.1883000000005</v>
      </c>
      <c r="C10" s="6">
        <v>269.67410000000001</v>
      </c>
      <c r="D10" s="6">
        <v>1488.8030000000006</v>
      </c>
      <c r="E10" s="6">
        <v>1669.5594999999992</v>
      </c>
      <c r="F10" s="6">
        <v>170.25580000000002</v>
      </c>
      <c r="H10" s="3" t="s">
        <v>11</v>
      </c>
      <c r="I10" s="4">
        <f t="shared" si="1"/>
        <v>11</v>
      </c>
      <c r="J10" s="4">
        <f t="shared" si="0"/>
        <v>9</v>
      </c>
      <c r="K10" s="4">
        <f t="shared" si="0"/>
        <v>13</v>
      </c>
      <c r="L10" s="4">
        <f t="shared" si="0"/>
        <v>14</v>
      </c>
      <c r="M10" s="4">
        <f t="shared" si="2"/>
        <v>12</v>
      </c>
      <c r="N10" s="6">
        <f t="shared" si="3"/>
        <v>11.8</v>
      </c>
      <c r="O10" s="4">
        <f t="shared" si="4"/>
        <v>12</v>
      </c>
    </row>
    <row r="11" spans="1:15" ht="15" thickBot="1" x14ac:dyDescent="0.35">
      <c r="A11" s="3" t="s">
        <v>12</v>
      </c>
      <c r="B11" s="6">
        <v>1285.6607999999992</v>
      </c>
      <c r="C11" s="6">
        <v>324.91280000000012</v>
      </c>
      <c r="D11" s="6">
        <v>1719.1572999999999</v>
      </c>
      <c r="E11" s="6">
        <v>1961.1327999999996</v>
      </c>
      <c r="F11" s="6">
        <v>177.5352</v>
      </c>
      <c r="H11" s="3" t="s">
        <v>12</v>
      </c>
      <c r="I11" s="4">
        <f t="shared" si="1"/>
        <v>15</v>
      </c>
      <c r="J11" s="4">
        <f t="shared" si="0"/>
        <v>15</v>
      </c>
      <c r="K11" s="4">
        <f t="shared" si="0"/>
        <v>15</v>
      </c>
      <c r="L11" s="4">
        <f t="shared" si="0"/>
        <v>16</v>
      </c>
      <c r="M11" s="4">
        <f t="shared" si="2"/>
        <v>13</v>
      </c>
      <c r="N11" s="6">
        <f t="shared" si="3"/>
        <v>14.8</v>
      </c>
      <c r="O11" s="4">
        <f t="shared" si="4"/>
        <v>15</v>
      </c>
    </row>
    <row r="12" spans="1:15" ht="15" thickBot="1" x14ac:dyDescent="0.35">
      <c r="A12" s="3" t="s">
        <v>13</v>
      </c>
      <c r="B12" s="6">
        <v>1226.6187999999995</v>
      </c>
      <c r="C12" s="6">
        <v>319.29019999999991</v>
      </c>
      <c r="D12" s="6">
        <v>1737.7607999999998</v>
      </c>
      <c r="E12" s="6">
        <v>1832.8926999999996</v>
      </c>
      <c r="F12" s="6">
        <v>196.66340000000008</v>
      </c>
      <c r="H12" s="3" t="s">
        <v>13</v>
      </c>
      <c r="I12" s="4">
        <f t="shared" si="1"/>
        <v>14</v>
      </c>
      <c r="J12" s="4">
        <f t="shared" si="0"/>
        <v>13</v>
      </c>
      <c r="K12" s="4">
        <f t="shared" si="0"/>
        <v>16</v>
      </c>
      <c r="L12" s="4">
        <f t="shared" si="0"/>
        <v>15</v>
      </c>
      <c r="M12" s="4">
        <f t="shared" si="2"/>
        <v>16</v>
      </c>
      <c r="N12" s="6">
        <f t="shared" si="3"/>
        <v>14.8</v>
      </c>
      <c r="O12" s="4">
        <f t="shared" si="4"/>
        <v>15</v>
      </c>
    </row>
    <row r="13" spans="1:15" ht="15" thickBot="1" x14ac:dyDescent="0.35">
      <c r="A13" s="3" t="s">
        <v>14</v>
      </c>
      <c r="B13" s="6">
        <v>585.29920000000027</v>
      </c>
      <c r="C13" s="6">
        <v>19.958399999999994</v>
      </c>
      <c r="D13" s="6">
        <v>87.134800000000013</v>
      </c>
      <c r="E13" s="6">
        <v>237.14350000000005</v>
      </c>
      <c r="F13" s="6">
        <v>11.803299999999993</v>
      </c>
      <c r="H13" s="3" t="s">
        <v>14</v>
      </c>
      <c r="I13" s="4">
        <f t="shared" si="1"/>
        <v>3</v>
      </c>
      <c r="J13" s="4">
        <f t="shared" si="0"/>
        <v>2</v>
      </c>
      <c r="K13" s="4">
        <f t="shared" si="0"/>
        <v>5</v>
      </c>
      <c r="L13" s="4">
        <f t="shared" si="0"/>
        <v>2</v>
      </c>
      <c r="M13" s="4">
        <f t="shared" si="2"/>
        <v>1</v>
      </c>
      <c r="N13" s="6">
        <f t="shared" si="3"/>
        <v>2.6</v>
      </c>
      <c r="O13" s="4">
        <f t="shared" si="4"/>
        <v>2</v>
      </c>
    </row>
    <row r="14" spans="1:15" ht="15" thickBot="1" x14ac:dyDescent="0.35">
      <c r="A14" s="3" t="s">
        <v>15</v>
      </c>
      <c r="B14" s="6">
        <v>852.16660000000002</v>
      </c>
      <c r="C14" s="6">
        <v>29.727100000000004</v>
      </c>
      <c r="D14" s="6">
        <v>54.921700000000016</v>
      </c>
      <c r="E14" s="6">
        <v>438.05680000000024</v>
      </c>
      <c r="F14" s="6">
        <v>13.685699999999999</v>
      </c>
      <c r="H14" s="3" t="s">
        <v>15</v>
      </c>
      <c r="I14" s="4">
        <f t="shared" si="1"/>
        <v>8</v>
      </c>
      <c r="J14" s="4">
        <f t="shared" si="0"/>
        <v>4</v>
      </c>
      <c r="K14" s="4">
        <f t="shared" si="0"/>
        <v>3</v>
      </c>
      <c r="L14" s="4">
        <f t="shared" si="0"/>
        <v>3</v>
      </c>
      <c r="M14" s="4">
        <f t="shared" si="2"/>
        <v>3</v>
      </c>
      <c r="N14" s="6">
        <f t="shared" si="3"/>
        <v>4.2</v>
      </c>
      <c r="O14" s="4">
        <f t="shared" si="4"/>
        <v>4</v>
      </c>
    </row>
    <row r="15" spans="1:15" ht="15" thickBot="1" x14ac:dyDescent="0.35">
      <c r="A15" s="3" t="s">
        <v>16</v>
      </c>
      <c r="B15" s="6">
        <v>993.87599999999964</v>
      </c>
      <c r="C15" s="6">
        <v>49.427299999999988</v>
      </c>
      <c r="D15" s="6">
        <v>65.05149999999999</v>
      </c>
      <c r="E15" s="6">
        <v>497.60049999999995</v>
      </c>
      <c r="F15" s="6">
        <v>21.415299999999998</v>
      </c>
      <c r="H15" s="3" t="s">
        <v>16</v>
      </c>
      <c r="I15" s="4">
        <f t="shared" si="1"/>
        <v>10</v>
      </c>
      <c r="J15" s="4">
        <f t="shared" si="0"/>
        <v>6</v>
      </c>
      <c r="K15" s="4">
        <f t="shared" si="0"/>
        <v>4</v>
      </c>
      <c r="L15" s="4">
        <f t="shared" si="0"/>
        <v>4</v>
      </c>
      <c r="M15" s="4">
        <f t="shared" si="2"/>
        <v>4</v>
      </c>
      <c r="N15" s="6">
        <f t="shared" si="3"/>
        <v>5.6</v>
      </c>
      <c r="O15" s="4">
        <f t="shared" si="4"/>
        <v>5</v>
      </c>
    </row>
    <row r="16" spans="1:15" ht="15" thickBot="1" x14ac:dyDescent="0.35">
      <c r="A16" s="3" t="s">
        <v>17</v>
      </c>
      <c r="B16" s="6">
        <v>1372.7355000000005</v>
      </c>
      <c r="C16" s="6">
        <v>35.487900000000003</v>
      </c>
      <c r="D16" s="6">
        <v>102.64980000000003</v>
      </c>
      <c r="E16" s="6">
        <v>1122.8447999999996</v>
      </c>
      <c r="F16" s="6">
        <v>78.110300000000024</v>
      </c>
      <c r="H16" s="3" t="s">
        <v>17</v>
      </c>
      <c r="I16" s="4">
        <f t="shared" si="1"/>
        <v>16</v>
      </c>
      <c r="J16" s="4">
        <f t="shared" si="0"/>
        <v>5</v>
      </c>
      <c r="K16" s="4">
        <f t="shared" si="0"/>
        <v>6</v>
      </c>
      <c r="L16" s="4">
        <f t="shared" si="0"/>
        <v>9</v>
      </c>
      <c r="M16" s="4">
        <f t="shared" si="2"/>
        <v>6</v>
      </c>
      <c r="N16" s="6">
        <f t="shared" si="3"/>
        <v>8.4</v>
      </c>
      <c r="O16" s="4">
        <f t="shared" si="4"/>
        <v>8</v>
      </c>
    </row>
    <row r="17" spans="1:15" ht="15" thickBot="1" x14ac:dyDescent="0.35">
      <c r="A17" s="3" t="s">
        <v>18</v>
      </c>
      <c r="B17" s="6">
        <v>539.40489999999988</v>
      </c>
      <c r="C17" s="6">
        <v>26.620500000000003</v>
      </c>
      <c r="D17" s="6">
        <v>29.425300000000004</v>
      </c>
      <c r="E17" s="6">
        <v>616.56460000000015</v>
      </c>
      <c r="F17" s="6">
        <v>71.345299999999995</v>
      </c>
      <c r="H17" s="3" t="s">
        <v>18</v>
      </c>
      <c r="I17" s="4">
        <f t="shared" si="1"/>
        <v>2</v>
      </c>
      <c r="J17" s="4">
        <f t="shared" si="0"/>
        <v>3</v>
      </c>
      <c r="K17" s="4">
        <f t="shared" si="0"/>
        <v>2</v>
      </c>
      <c r="L17" s="4">
        <f t="shared" si="0"/>
        <v>5</v>
      </c>
      <c r="M17" s="4">
        <f t="shared" si="2"/>
        <v>5</v>
      </c>
      <c r="N17" s="6">
        <f t="shared" si="3"/>
        <v>3.4</v>
      </c>
      <c r="O17" s="4">
        <f t="shared" si="4"/>
        <v>3</v>
      </c>
    </row>
    <row r="18" spans="1:15" ht="15" thickBot="1" x14ac:dyDescent="0.35">
      <c r="A18" s="3" t="s">
        <v>19</v>
      </c>
      <c r="B18" s="6">
        <v>185.9773000000001</v>
      </c>
      <c r="C18" s="6">
        <v>5.8292000000000028</v>
      </c>
      <c r="D18" s="6">
        <v>17.272299999999987</v>
      </c>
      <c r="E18" s="6">
        <v>130.55249999999995</v>
      </c>
      <c r="F18" s="6">
        <v>12.612499999999995</v>
      </c>
      <c r="H18" s="3" t="s">
        <v>19</v>
      </c>
      <c r="I18" s="4">
        <f t="shared" si="1"/>
        <v>1</v>
      </c>
      <c r="J18" s="4">
        <f t="shared" si="0"/>
        <v>1</v>
      </c>
      <c r="K18" s="4">
        <f t="shared" si="0"/>
        <v>1</v>
      </c>
      <c r="L18" s="4">
        <f t="shared" si="0"/>
        <v>1</v>
      </c>
      <c r="M18" s="4">
        <f t="shared" si="2"/>
        <v>2</v>
      </c>
      <c r="N18" s="6">
        <f t="shared" si="3"/>
        <v>1.2</v>
      </c>
      <c r="O18" s="4">
        <f t="shared" si="4"/>
        <v>1</v>
      </c>
    </row>
  </sheetData>
  <mergeCells count="2">
    <mergeCell ref="A1:F1"/>
    <mergeCell ref="H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27A82-F00D-403F-888A-DBFA6DC3D976}">
  <dimension ref="A1:O18"/>
  <sheetViews>
    <sheetView workbookViewId="0">
      <selection activeCell="C25" sqref="C25"/>
    </sheetView>
  </sheetViews>
  <sheetFormatPr defaultRowHeight="14.4" x14ac:dyDescent="0.3"/>
  <cols>
    <col min="1" max="1" width="15.44140625" customWidth="1"/>
    <col min="2" max="2" width="15.109375" customWidth="1"/>
    <col min="3" max="3" width="9.6640625" customWidth="1"/>
    <col min="4" max="4" width="10.33203125" customWidth="1"/>
    <col min="5" max="5" width="12.109375" customWidth="1"/>
    <col min="6" max="6" width="14.44140625" customWidth="1"/>
    <col min="8" max="8" width="15.44140625" customWidth="1"/>
    <col min="9" max="9" width="15.109375" customWidth="1"/>
    <col min="10" max="10" width="9.6640625" customWidth="1"/>
    <col min="11" max="11" width="10.33203125" customWidth="1"/>
    <col min="12" max="12" width="12.109375" customWidth="1"/>
    <col min="13" max="13" width="14.44140625" customWidth="1"/>
    <col min="14" max="14" width="14.109375" customWidth="1"/>
    <col min="15" max="15" width="11.88671875" customWidth="1"/>
  </cols>
  <sheetData>
    <row r="1" spans="1:15" ht="15" thickBot="1" x14ac:dyDescent="0.35">
      <c r="A1" s="17" t="s">
        <v>32</v>
      </c>
      <c r="B1" s="17"/>
      <c r="C1" s="17"/>
      <c r="D1" s="17"/>
      <c r="E1" s="17"/>
      <c r="F1" s="17"/>
      <c r="H1" s="17" t="s">
        <v>24</v>
      </c>
      <c r="I1" s="17"/>
      <c r="J1" s="17"/>
      <c r="K1" s="17"/>
      <c r="L1" s="17"/>
      <c r="M1" s="17"/>
      <c r="N1" s="17"/>
      <c r="O1" s="17"/>
    </row>
    <row r="2" spans="1:15" ht="15" thickBot="1" x14ac:dyDescent="0.35">
      <c r="A2" s="1" t="s">
        <v>0</v>
      </c>
      <c r="B2" s="2" t="s">
        <v>27</v>
      </c>
      <c r="C2" s="2" t="s">
        <v>28</v>
      </c>
      <c r="D2" s="2" t="s">
        <v>29</v>
      </c>
      <c r="E2" s="1" t="s">
        <v>30</v>
      </c>
      <c r="F2" s="2" t="s">
        <v>31</v>
      </c>
      <c r="H2" s="1" t="s">
        <v>0</v>
      </c>
      <c r="I2" s="2" t="s">
        <v>27</v>
      </c>
      <c r="J2" s="2" t="s">
        <v>28</v>
      </c>
      <c r="K2" s="2" t="s">
        <v>29</v>
      </c>
      <c r="L2" s="1" t="s">
        <v>30</v>
      </c>
      <c r="M2" s="2" t="s">
        <v>31</v>
      </c>
      <c r="N2" s="2" t="s">
        <v>2</v>
      </c>
      <c r="O2" s="2" t="s">
        <v>25</v>
      </c>
    </row>
    <row r="3" spans="1:15" ht="15" thickBot="1" x14ac:dyDescent="0.35">
      <c r="A3" s="3" t="s">
        <v>20</v>
      </c>
      <c r="B3" s="6">
        <v>142.31628220185468</v>
      </c>
      <c r="C3" s="6">
        <v>68.095893064727207</v>
      </c>
      <c r="D3" s="6">
        <v>87.836647284903947</v>
      </c>
      <c r="E3" s="6">
        <v>202.02979149540533</v>
      </c>
      <c r="F3" s="6">
        <v>22.98645613764079</v>
      </c>
      <c r="H3" s="3" t="s">
        <v>20</v>
      </c>
      <c r="I3" s="4">
        <f>RANK(B3,B$3:B$18,1)</f>
        <v>7</v>
      </c>
      <c r="J3" s="4">
        <f t="shared" ref="J3:M18" si="0">RANK(C3,C$3:C$18,1)</f>
        <v>13</v>
      </c>
      <c r="K3" s="4">
        <f t="shared" si="0"/>
        <v>9</v>
      </c>
      <c r="L3" s="4">
        <f t="shared" si="0"/>
        <v>8</v>
      </c>
      <c r="M3" s="4">
        <f>RANK(F3,F$3:F$18,1)</f>
        <v>8</v>
      </c>
      <c r="N3" s="6">
        <f>AVERAGE(I3:M3)</f>
        <v>9</v>
      </c>
      <c r="O3" s="4">
        <f>RANK(N3,N$3:N$18,1)</f>
        <v>8</v>
      </c>
    </row>
    <row r="4" spans="1:15" ht="15" thickBot="1" x14ac:dyDescent="0.35">
      <c r="A4" s="3" t="s">
        <v>21</v>
      </c>
      <c r="B4" s="6">
        <v>48.363523891273879</v>
      </c>
      <c r="C4" s="6">
        <v>30.810180604449247</v>
      </c>
      <c r="D4" s="6">
        <v>46.125433933958384</v>
      </c>
      <c r="E4" s="6">
        <v>105.40802355828859</v>
      </c>
      <c r="F4" s="6">
        <v>6.9641813016333947</v>
      </c>
      <c r="H4" s="3" t="s">
        <v>21</v>
      </c>
      <c r="I4" s="4">
        <f t="shared" ref="I4:I18" si="1">RANK(B4,B$3:B$18,1)</f>
        <v>4</v>
      </c>
      <c r="J4" s="4">
        <f t="shared" si="0"/>
        <v>5</v>
      </c>
      <c r="K4" s="4">
        <f t="shared" si="0"/>
        <v>5</v>
      </c>
      <c r="L4" s="4">
        <f t="shared" si="0"/>
        <v>5</v>
      </c>
      <c r="M4" s="4">
        <f t="shared" si="0"/>
        <v>6</v>
      </c>
      <c r="N4" s="6">
        <f t="shared" ref="N4:N18" si="2">AVERAGE(I4:M4)</f>
        <v>5</v>
      </c>
      <c r="O4" s="4">
        <f t="shared" ref="O4:O18" si="3">RANK(N4,N$3:N$18,1)</f>
        <v>4</v>
      </c>
    </row>
    <row r="5" spans="1:15" ht="15" thickBot="1" x14ac:dyDescent="0.35">
      <c r="A5" s="3" t="s">
        <v>22</v>
      </c>
      <c r="B5" s="6">
        <v>71.02196670990908</v>
      </c>
      <c r="C5" s="6">
        <v>36.103394974389929</v>
      </c>
      <c r="D5" s="6">
        <v>57.018723523793732</v>
      </c>
      <c r="E5" s="6">
        <v>107.1541967184874</v>
      </c>
      <c r="F5" s="6">
        <v>20.839315274769117</v>
      </c>
      <c r="H5" s="3" t="s">
        <v>22</v>
      </c>
      <c r="I5" s="4">
        <f t="shared" si="1"/>
        <v>5</v>
      </c>
      <c r="J5" s="4">
        <f t="shared" si="0"/>
        <v>6</v>
      </c>
      <c r="K5" s="4">
        <f t="shared" si="0"/>
        <v>7</v>
      </c>
      <c r="L5" s="4">
        <f t="shared" si="0"/>
        <v>6</v>
      </c>
      <c r="M5" s="4">
        <f t="shared" si="0"/>
        <v>7</v>
      </c>
      <c r="N5" s="6">
        <f t="shared" si="2"/>
        <v>6.2</v>
      </c>
      <c r="O5" s="4">
        <f t="shared" si="3"/>
        <v>7</v>
      </c>
    </row>
    <row r="6" spans="1:15" ht="15" thickBot="1" x14ac:dyDescent="0.35">
      <c r="A6" s="3" t="s">
        <v>7</v>
      </c>
      <c r="B6" s="6">
        <v>488.7459132041177</v>
      </c>
      <c r="C6" s="6">
        <v>235.80853749974293</v>
      </c>
      <c r="D6" s="6">
        <v>277.44778374279429</v>
      </c>
      <c r="E6" s="6">
        <v>560.8299629344375</v>
      </c>
      <c r="F6" s="6">
        <v>58.014175111682015</v>
      </c>
      <c r="H6" s="3" t="s">
        <v>7</v>
      </c>
      <c r="I6" s="4">
        <f t="shared" si="1"/>
        <v>16</v>
      </c>
      <c r="J6" s="4">
        <f t="shared" si="0"/>
        <v>16</v>
      </c>
      <c r="K6" s="4">
        <f t="shared" si="0"/>
        <v>11</v>
      </c>
      <c r="L6" s="4">
        <f t="shared" si="0"/>
        <v>15</v>
      </c>
      <c r="M6" s="4">
        <f t="shared" si="0"/>
        <v>12</v>
      </c>
      <c r="N6" s="6">
        <f t="shared" si="2"/>
        <v>14</v>
      </c>
      <c r="O6" s="4">
        <f t="shared" si="3"/>
        <v>15</v>
      </c>
    </row>
    <row r="7" spans="1:15" ht="15" thickBot="1" x14ac:dyDescent="0.35">
      <c r="A7" s="3" t="s">
        <v>8</v>
      </c>
      <c r="B7" s="6">
        <v>73.04237498185347</v>
      </c>
      <c r="C7" s="6">
        <v>45.871385945110219</v>
      </c>
      <c r="D7" s="6">
        <v>53.735477522825278</v>
      </c>
      <c r="E7" s="6">
        <v>99.618275943825694</v>
      </c>
      <c r="F7" s="6">
        <v>2.008585157102714</v>
      </c>
      <c r="H7" s="3" t="s">
        <v>8</v>
      </c>
      <c r="I7" s="4">
        <f t="shared" si="1"/>
        <v>6</v>
      </c>
      <c r="J7" s="4">
        <f t="shared" si="0"/>
        <v>8</v>
      </c>
      <c r="K7" s="4">
        <f t="shared" si="0"/>
        <v>6</v>
      </c>
      <c r="L7" s="4">
        <f t="shared" si="0"/>
        <v>4</v>
      </c>
      <c r="M7" s="4">
        <f t="shared" si="0"/>
        <v>4</v>
      </c>
      <c r="N7" s="6">
        <f t="shared" si="2"/>
        <v>5.6</v>
      </c>
      <c r="O7" s="4">
        <f t="shared" si="3"/>
        <v>6</v>
      </c>
    </row>
    <row r="8" spans="1:15" ht="15" thickBot="1" x14ac:dyDescent="0.35">
      <c r="A8" s="3" t="s">
        <v>9</v>
      </c>
      <c r="B8" s="6">
        <v>446.90647289805747</v>
      </c>
      <c r="C8" s="6">
        <v>192.30758805083411</v>
      </c>
      <c r="D8" s="6">
        <v>393.38239504048511</v>
      </c>
      <c r="E8" s="6">
        <v>581.72934876821546</v>
      </c>
      <c r="F8" s="6">
        <v>63.688265985203373</v>
      </c>
      <c r="H8" s="3" t="s">
        <v>9</v>
      </c>
      <c r="I8" s="4">
        <f t="shared" si="1"/>
        <v>15</v>
      </c>
      <c r="J8" s="4">
        <f t="shared" si="0"/>
        <v>15</v>
      </c>
      <c r="K8" s="4">
        <f t="shared" si="0"/>
        <v>16</v>
      </c>
      <c r="L8" s="4">
        <f t="shared" si="0"/>
        <v>16</v>
      </c>
      <c r="M8" s="4">
        <f t="shared" si="0"/>
        <v>15</v>
      </c>
      <c r="N8" s="6">
        <f t="shared" si="2"/>
        <v>15.4</v>
      </c>
      <c r="O8" s="4">
        <f t="shared" si="3"/>
        <v>16</v>
      </c>
    </row>
    <row r="9" spans="1:15" ht="15" thickBot="1" x14ac:dyDescent="0.35">
      <c r="A9" s="3" t="s">
        <v>10</v>
      </c>
      <c r="B9" s="6">
        <v>244.61282958672646</v>
      </c>
      <c r="C9" s="6">
        <v>62.570653293180236</v>
      </c>
      <c r="D9" s="6">
        <v>342.38931099399065</v>
      </c>
      <c r="E9" s="6">
        <v>333.87053691270148</v>
      </c>
      <c r="F9" s="6">
        <v>57.771295518613783</v>
      </c>
      <c r="H9" s="3" t="s">
        <v>10</v>
      </c>
      <c r="I9" s="4">
        <f t="shared" si="1"/>
        <v>9</v>
      </c>
      <c r="J9" s="4">
        <f t="shared" si="0"/>
        <v>11</v>
      </c>
      <c r="K9" s="4">
        <f t="shared" si="0"/>
        <v>13</v>
      </c>
      <c r="L9" s="4">
        <f t="shared" si="0"/>
        <v>9</v>
      </c>
      <c r="M9" s="4">
        <f t="shared" si="0"/>
        <v>11</v>
      </c>
      <c r="N9" s="6">
        <f t="shared" si="2"/>
        <v>10.6</v>
      </c>
      <c r="O9" s="4">
        <f t="shared" si="3"/>
        <v>11</v>
      </c>
    </row>
    <row r="10" spans="1:15" ht="15" thickBot="1" x14ac:dyDescent="0.35">
      <c r="A10" s="3" t="s">
        <v>11</v>
      </c>
      <c r="B10" s="6">
        <v>258.12380708088108</v>
      </c>
      <c r="C10" s="6">
        <v>57.338867176469584</v>
      </c>
      <c r="D10" s="6">
        <v>302.63149564538742</v>
      </c>
      <c r="E10" s="6">
        <v>341.89442146522998</v>
      </c>
      <c r="F10" s="6">
        <v>56.185664302301454</v>
      </c>
      <c r="H10" s="3" t="s">
        <v>11</v>
      </c>
      <c r="I10" s="4">
        <f t="shared" si="1"/>
        <v>10</v>
      </c>
      <c r="J10" s="4">
        <f t="shared" si="0"/>
        <v>9</v>
      </c>
      <c r="K10" s="4">
        <f t="shared" si="0"/>
        <v>12</v>
      </c>
      <c r="L10" s="4">
        <f t="shared" si="0"/>
        <v>10</v>
      </c>
      <c r="M10" s="4">
        <f t="shared" si="0"/>
        <v>10</v>
      </c>
      <c r="N10" s="6">
        <f t="shared" si="2"/>
        <v>10.199999999999999</v>
      </c>
      <c r="O10" s="4">
        <f t="shared" si="3"/>
        <v>10</v>
      </c>
    </row>
    <row r="11" spans="1:15" ht="15" thickBot="1" x14ac:dyDescent="0.35">
      <c r="A11" s="3" t="s">
        <v>12</v>
      </c>
      <c r="B11" s="6">
        <v>278.41365894697873</v>
      </c>
      <c r="C11" s="6">
        <v>67.539544272711893</v>
      </c>
      <c r="D11" s="6">
        <v>364.23693318591125</v>
      </c>
      <c r="E11" s="6">
        <v>424.01249410570307</v>
      </c>
      <c r="F11" s="6">
        <v>58.042210684739693</v>
      </c>
      <c r="H11" s="3" t="s">
        <v>12</v>
      </c>
      <c r="I11" s="4">
        <f t="shared" si="1"/>
        <v>11</v>
      </c>
      <c r="J11" s="4">
        <f t="shared" si="0"/>
        <v>12</v>
      </c>
      <c r="K11" s="4">
        <f t="shared" si="0"/>
        <v>15</v>
      </c>
      <c r="L11" s="4">
        <f t="shared" si="0"/>
        <v>14</v>
      </c>
      <c r="M11" s="4">
        <f t="shared" si="0"/>
        <v>13</v>
      </c>
      <c r="N11" s="6">
        <f t="shared" si="2"/>
        <v>13</v>
      </c>
      <c r="O11" s="4">
        <f t="shared" si="3"/>
        <v>13</v>
      </c>
    </row>
    <row r="12" spans="1:15" ht="15" thickBot="1" x14ac:dyDescent="0.35">
      <c r="A12" s="3" t="s">
        <v>13</v>
      </c>
      <c r="B12" s="6">
        <v>283.85253693743789</v>
      </c>
      <c r="C12" s="6">
        <v>59.534458793189764</v>
      </c>
      <c r="D12" s="6">
        <v>352.93518575626149</v>
      </c>
      <c r="E12" s="6">
        <v>414.21409933827289</v>
      </c>
      <c r="F12" s="6">
        <v>60.454664894572979</v>
      </c>
      <c r="H12" s="3" t="s">
        <v>13</v>
      </c>
      <c r="I12" s="4">
        <f t="shared" si="1"/>
        <v>12</v>
      </c>
      <c r="J12" s="4">
        <f t="shared" si="0"/>
        <v>10</v>
      </c>
      <c r="K12" s="4">
        <f t="shared" si="0"/>
        <v>14</v>
      </c>
      <c r="L12" s="4">
        <f t="shared" si="0"/>
        <v>12</v>
      </c>
      <c r="M12" s="4">
        <f t="shared" si="0"/>
        <v>14</v>
      </c>
      <c r="N12" s="6">
        <f t="shared" si="2"/>
        <v>12.4</v>
      </c>
      <c r="O12" s="4">
        <f t="shared" si="3"/>
        <v>12</v>
      </c>
    </row>
    <row r="13" spans="1:15" ht="15" thickBot="1" x14ac:dyDescent="0.35">
      <c r="A13" s="3" t="s">
        <v>14</v>
      </c>
      <c r="B13" s="6">
        <v>12.277001548843385</v>
      </c>
      <c r="C13" s="6">
        <v>5.251793290646237</v>
      </c>
      <c r="D13" s="6">
        <v>5.7955633466515133</v>
      </c>
      <c r="E13" s="6">
        <v>9.2932810936099699</v>
      </c>
      <c r="F13" s="6">
        <v>0.56798430587224136</v>
      </c>
      <c r="H13" s="3" t="s">
        <v>14</v>
      </c>
      <c r="I13" s="4">
        <f t="shared" si="1"/>
        <v>1</v>
      </c>
      <c r="J13" s="4">
        <f t="shared" si="0"/>
        <v>2</v>
      </c>
      <c r="K13" s="4">
        <f t="shared" si="0"/>
        <v>1</v>
      </c>
      <c r="L13" s="4">
        <f t="shared" si="0"/>
        <v>1</v>
      </c>
      <c r="M13" s="4">
        <f t="shared" si="0"/>
        <v>2</v>
      </c>
      <c r="N13" s="6">
        <f t="shared" si="2"/>
        <v>1.4</v>
      </c>
      <c r="O13" s="4">
        <f t="shared" si="3"/>
        <v>1</v>
      </c>
    </row>
    <row r="14" spans="1:15" ht="15" thickBot="1" x14ac:dyDescent="0.35">
      <c r="A14" s="3" t="s">
        <v>15</v>
      </c>
      <c r="B14" s="6">
        <v>184.05366964430664</v>
      </c>
      <c r="C14" s="6">
        <v>12.423162977830437</v>
      </c>
      <c r="D14" s="6">
        <v>14.665081116431407</v>
      </c>
      <c r="E14" s="6">
        <v>121.94832702585121</v>
      </c>
      <c r="F14" s="6">
        <v>1.5369629340377531</v>
      </c>
      <c r="H14" s="3" t="s">
        <v>15</v>
      </c>
      <c r="I14" s="4">
        <f t="shared" si="1"/>
        <v>8</v>
      </c>
      <c r="J14" s="4">
        <f t="shared" si="0"/>
        <v>4</v>
      </c>
      <c r="K14" s="4">
        <f t="shared" si="0"/>
        <v>3</v>
      </c>
      <c r="L14" s="4">
        <f t="shared" si="0"/>
        <v>7</v>
      </c>
      <c r="M14" s="4">
        <f t="shared" si="0"/>
        <v>3</v>
      </c>
      <c r="N14" s="6">
        <f t="shared" si="2"/>
        <v>5</v>
      </c>
      <c r="O14" s="4">
        <f t="shared" si="3"/>
        <v>4</v>
      </c>
    </row>
    <row r="15" spans="1:15" ht="15" thickBot="1" x14ac:dyDescent="0.35">
      <c r="A15" s="3" t="s">
        <v>16</v>
      </c>
      <c r="B15" s="6">
        <v>39.606974515898472</v>
      </c>
      <c r="C15" s="6">
        <v>10.34819838465045</v>
      </c>
      <c r="D15" s="6">
        <v>17.012061043847584</v>
      </c>
      <c r="E15" s="6">
        <v>28.445013565072735</v>
      </c>
      <c r="F15" s="6">
        <v>2.4676588729262083</v>
      </c>
      <c r="H15" s="3" t="s">
        <v>16</v>
      </c>
      <c r="I15" s="4">
        <f t="shared" si="1"/>
        <v>3</v>
      </c>
      <c r="J15" s="4">
        <f t="shared" si="0"/>
        <v>3</v>
      </c>
      <c r="K15" s="4">
        <f t="shared" si="0"/>
        <v>4</v>
      </c>
      <c r="L15" s="4">
        <f t="shared" si="0"/>
        <v>3</v>
      </c>
      <c r="M15" s="4">
        <f t="shared" si="0"/>
        <v>5</v>
      </c>
      <c r="N15" s="6">
        <f t="shared" si="2"/>
        <v>3.6</v>
      </c>
      <c r="O15" s="4">
        <f t="shared" si="3"/>
        <v>3</v>
      </c>
    </row>
    <row r="16" spans="1:15" ht="15" thickBot="1" x14ac:dyDescent="0.35">
      <c r="A16" s="3" t="s">
        <v>17</v>
      </c>
      <c r="B16" s="6">
        <v>398.36171062448449</v>
      </c>
      <c r="C16" s="6">
        <v>41.851222114953238</v>
      </c>
      <c r="D16" s="6">
        <v>62.385505260647257</v>
      </c>
      <c r="E16" s="6">
        <v>363.10536542297234</v>
      </c>
      <c r="F16" s="6">
        <v>35.977978855618787</v>
      </c>
      <c r="H16" s="3" t="s">
        <v>17</v>
      </c>
      <c r="I16" s="4">
        <f t="shared" si="1"/>
        <v>14</v>
      </c>
      <c r="J16" s="4">
        <f t="shared" si="0"/>
        <v>7</v>
      </c>
      <c r="K16" s="4">
        <f t="shared" si="0"/>
        <v>8</v>
      </c>
      <c r="L16" s="4">
        <f t="shared" si="0"/>
        <v>11</v>
      </c>
      <c r="M16" s="4">
        <f t="shared" si="0"/>
        <v>9</v>
      </c>
      <c r="N16" s="6">
        <f t="shared" si="2"/>
        <v>9.8000000000000007</v>
      </c>
      <c r="O16" s="4">
        <f t="shared" si="3"/>
        <v>9</v>
      </c>
    </row>
    <row r="17" spans="1:15" ht="15" thickBot="1" x14ac:dyDescent="0.35">
      <c r="A17" s="3" t="s">
        <v>18</v>
      </c>
      <c r="B17" s="6">
        <v>387.57695310319667</v>
      </c>
      <c r="C17" s="6">
        <v>120.18422122333953</v>
      </c>
      <c r="D17" s="6">
        <v>121.34713453355643</v>
      </c>
      <c r="E17" s="6">
        <v>421.76429114816801</v>
      </c>
      <c r="F17" s="6">
        <v>217.9480102655148</v>
      </c>
      <c r="H17" s="3" t="s">
        <v>18</v>
      </c>
      <c r="I17" s="4">
        <f t="shared" si="1"/>
        <v>13</v>
      </c>
      <c r="J17" s="4">
        <f t="shared" si="0"/>
        <v>14</v>
      </c>
      <c r="K17" s="4">
        <f t="shared" si="0"/>
        <v>10</v>
      </c>
      <c r="L17" s="4">
        <f t="shared" si="0"/>
        <v>13</v>
      </c>
      <c r="M17" s="4">
        <f t="shared" si="0"/>
        <v>16</v>
      </c>
      <c r="N17" s="6">
        <f t="shared" si="2"/>
        <v>13.2</v>
      </c>
      <c r="O17" s="4">
        <f t="shared" si="3"/>
        <v>14</v>
      </c>
    </row>
    <row r="18" spans="1:15" ht="15" thickBot="1" x14ac:dyDescent="0.35">
      <c r="A18" s="3" t="s">
        <v>19</v>
      </c>
      <c r="B18" s="6">
        <v>27.91409187058656</v>
      </c>
      <c r="C18" s="6">
        <v>1.8273559195092826</v>
      </c>
      <c r="D18" s="6">
        <v>6.2547210218047615</v>
      </c>
      <c r="E18" s="6">
        <v>25.184017714263511</v>
      </c>
      <c r="F18" s="6">
        <v>0.23367237273109071</v>
      </c>
      <c r="H18" s="3" t="s">
        <v>19</v>
      </c>
      <c r="I18" s="4">
        <f t="shared" si="1"/>
        <v>2</v>
      </c>
      <c r="J18" s="4">
        <f t="shared" si="0"/>
        <v>1</v>
      </c>
      <c r="K18" s="4">
        <f t="shared" si="0"/>
        <v>2</v>
      </c>
      <c r="L18" s="4">
        <f t="shared" si="0"/>
        <v>2</v>
      </c>
      <c r="M18" s="4">
        <f t="shared" si="0"/>
        <v>1</v>
      </c>
      <c r="N18" s="6">
        <f t="shared" si="2"/>
        <v>1.6</v>
      </c>
      <c r="O18" s="4">
        <f t="shared" si="3"/>
        <v>2</v>
      </c>
    </row>
  </sheetData>
  <mergeCells count="2">
    <mergeCell ref="A1:F1"/>
    <mergeCell ref="H1:O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6304F-7BA9-4E51-BD78-0A78F09D8751}">
  <dimension ref="A1:M18"/>
  <sheetViews>
    <sheetView workbookViewId="0">
      <selection activeCell="I24" sqref="I24"/>
    </sheetView>
  </sheetViews>
  <sheetFormatPr defaultRowHeight="14.4" x14ac:dyDescent="0.3"/>
  <cols>
    <col min="1" max="1" width="15.44140625" customWidth="1"/>
    <col min="2" max="2" width="15.109375" customWidth="1"/>
    <col min="3" max="3" width="9.6640625" customWidth="1"/>
    <col min="4" max="4" width="10.33203125" customWidth="1"/>
    <col min="5" max="5" width="12.109375" customWidth="1"/>
    <col min="7" max="7" width="15.44140625" customWidth="1"/>
    <col min="8" max="8" width="15.109375" customWidth="1"/>
    <col min="9" max="9" width="9.6640625" customWidth="1"/>
    <col min="10" max="10" width="10.33203125" customWidth="1"/>
    <col min="11" max="11" width="14.44140625" customWidth="1"/>
    <col min="12" max="12" width="14.109375" customWidth="1"/>
    <col min="13" max="13" width="11.88671875" customWidth="1"/>
  </cols>
  <sheetData>
    <row r="1" spans="1:13" ht="15" thickBot="1" x14ac:dyDescent="0.35">
      <c r="A1" s="17" t="s">
        <v>26</v>
      </c>
      <c r="B1" s="17"/>
      <c r="C1" s="17"/>
      <c r="D1" s="17"/>
      <c r="E1" s="17"/>
      <c r="G1" s="17" t="s">
        <v>24</v>
      </c>
      <c r="H1" s="17"/>
      <c r="I1" s="17"/>
      <c r="J1" s="17"/>
      <c r="K1" s="17"/>
      <c r="L1" s="17"/>
      <c r="M1" s="17"/>
    </row>
    <row r="2" spans="1:13" ht="15" thickBot="1" x14ac:dyDescent="0.35">
      <c r="A2" s="1" t="s">
        <v>0</v>
      </c>
      <c r="B2" s="2" t="s">
        <v>33</v>
      </c>
      <c r="C2" s="2" t="s">
        <v>34</v>
      </c>
      <c r="D2" s="2" t="s">
        <v>35</v>
      </c>
      <c r="E2" s="1" t="s">
        <v>36</v>
      </c>
      <c r="G2" s="1" t="s">
        <v>0</v>
      </c>
      <c r="H2" s="2" t="s">
        <v>33</v>
      </c>
      <c r="I2" s="2" t="s">
        <v>34</v>
      </c>
      <c r="J2" s="2" t="s">
        <v>35</v>
      </c>
      <c r="K2" s="1" t="s">
        <v>36</v>
      </c>
      <c r="L2" s="2" t="s">
        <v>2</v>
      </c>
      <c r="M2" s="2" t="s">
        <v>25</v>
      </c>
    </row>
    <row r="3" spans="1:13" ht="15" thickBot="1" x14ac:dyDescent="0.35">
      <c r="A3" s="3" t="s">
        <v>20</v>
      </c>
      <c r="B3" s="6">
        <v>1595.6638000000003</v>
      </c>
      <c r="C3" s="6">
        <v>23.868999999999993</v>
      </c>
      <c r="D3" s="6">
        <v>1622.7807999999993</v>
      </c>
      <c r="E3" s="6">
        <v>0.69359999999999988</v>
      </c>
      <c r="G3" s="3" t="s">
        <v>20</v>
      </c>
      <c r="H3" s="4">
        <f>RANK(B3,B$3:B$18,1)</f>
        <v>10</v>
      </c>
      <c r="I3" s="4">
        <f>RANK(C3,C$3:C$18,1)</f>
        <v>8</v>
      </c>
      <c r="J3" s="4">
        <f>RANK(D3,D$3:D$18,1)</f>
        <v>11</v>
      </c>
      <c r="K3" s="4">
        <f>RANK(E3,E$3:E$18,1)</f>
        <v>2</v>
      </c>
      <c r="L3" s="6">
        <f t="shared" ref="L3:L18" si="0">AVERAGE(H3:K3)</f>
        <v>7.75</v>
      </c>
      <c r="M3" s="4">
        <f>RANK(L3,L$3:L$18,1)</f>
        <v>7</v>
      </c>
    </row>
    <row r="4" spans="1:13" ht="15" thickBot="1" x14ac:dyDescent="0.35">
      <c r="A4" s="3" t="s">
        <v>21</v>
      </c>
      <c r="B4" s="6">
        <v>1303.2593999999999</v>
      </c>
      <c r="C4" s="6">
        <v>19.517600000000002</v>
      </c>
      <c r="D4" s="6">
        <v>1302.7999999999995</v>
      </c>
      <c r="E4" s="6">
        <v>0.97390000000000032</v>
      </c>
      <c r="G4" s="3" t="s">
        <v>21</v>
      </c>
      <c r="H4" s="4">
        <f t="shared" ref="H4:H18" si="1">RANK(B4,B$3:B$18,1)</f>
        <v>8</v>
      </c>
      <c r="I4" s="4">
        <f t="shared" ref="I4:I18" si="2">RANK(C4,C$3:C$18,1)</f>
        <v>5</v>
      </c>
      <c r="J4" s="4">
        <f t="shared" ref="J4:J18" si="3">RANK(D4,D$3:D$18,1)</f>
        <v>8</v>
      </c>
      <c r="K4" s="4">
        <f t="shared" ref="K4:K18" si="4">RANK(E4,E$3:E$18,1)</f>
        <v>3</v>
      </c>
      <c r="L4" s="6">
        <f t="shared" si="0"/>
        <v>6</v>
      </c>
      <c r="M4" s="4">
        <f t="shared" ref="M4:M18" si="5">RANK(L4,L$3:L$18,1)</f>
        <v>4</v>
      </c>
    </row>
    <row r="5" spans="1:13" ht="15" thickBot="1" x14ac:dyDescent="0.35">
      <c r="A5" s="3" t="s">
        <v>22</v>
      </c>
      <c r="B5" s="6">
        <v>1550.6812</v>
      </c>
      <c r="C5" s="6">
        <v>21.89820000000001</v>
      </c>
      <c r="D5" s="6">
        <v>1539.0365999999997</v>
      </c>
      <c r="E5" s="6">
        <v>1.6500999999999992</v>
      </c>
      <c r="G5" s="3" t="s">
        <v>22</v>
      </c>
      <c r="H5" s="4">
        <f t="shared" si="1"/>
        <v>9</v>
      </c>
      <c r="I5" s="4">
        <f t="shared" si="2"/>
        <v>7</v>
      </c>
      <c r="J5" s="4">
        <f t="shared" si="3"/>
        <v>9</v>
      </c>
      <c r="K5" s="4">
        <f t="shared" si="4"/>
        <v>4</v>
      </c>
      <c r="L5" s="6">
        <f t="shared" si="0"/>
        <v>7.25</v>
      </c>
      <c r="M5" s="4">
        <f t="shared" si="5"/>
        <v>6</v>
      </c>
    </row>
    <row r="6" spans="1:13" ht="15" thickBot="1" x14ac:dyDescent="0.35">
      <c r="A6" s="3" t="s">
        <v>7</v>
      </c>
      <c r="B6" s="6">
        <v>2001.9052999999997</v>
      </c>
      <c r="C6" s="6">
        <v>18.404899999999998</v>
      </c>
      <c r="D6" s="6">
        <v>1883.1569000000011</v>
      </c>
      <c r="E6" s="6">
        <v>0.68400000000000016</v>
      </c>
      <c r="G6" s="3" t="s">
        <v>7</v>
      </c>
      <c r="H6" s="4">
        <f t="shared" si="1"/>
        <v>11</v>
      </c>
      <c r="I6" s="4">
        <f t="shared" si="2"/>
        <v>4</v>
      </c>
      <c r="J6" s="4">
        <f t="shared" si="3"/>
        <v>12</v>
      </c>
      <c r="K6" s="4">
        <f t="shared" si="4"/>
        <v>1</v>
      </c>
      <c r="L6" s="6">
        <f t="shared" si="0"/>
        <v>7</v>
      </c>
      <c r="M6" s="4">
        <f t="shared" si="5"/>
        <v>5</v>
      </c>
    </row>
    <row r="7" spans="1:13" ht="15" thickBot="1" x14ac:dyDescent="0.35">
      <c r="A7" s="3" t="s">
        <v>8</v>
      </c>
      <c r="B7" s="6">
        <v>1013.3381999999998</v>
      </c>
      <c r="C7" s="6">
        <v>17.314899999999994</v>
      </c>
      <c r="D7" s="6">
        <v>766.48710000000017</v>
      </c>
      <c r="E7" s="6">
        <v>18.222199999999997</v>
      </c>
      <c r="G7" s="3" t="s">
        <v>8</v>
      </c>
      <c r="H7" s="4">
        <f t="shared" si="1"/>
        <v>6</v>
      </c>
      <c r="I7" s="4">
        <f t="shared" si="2"/>
        <v>3</v>
      </c>
      <c r="J7" s="4">
        <f t="shared" si="3"/>
        <v>6</v>
      </c>
      <c r="K7" s="4">
        <f t="shared" si="4"/>
        <v>7</v>
      </c>
      <c r="L7" s="6">
        <f t="shared" si="0"/>
        <v>5.5</v>
      </c>
      <c r="M7" s="4">
        <f t="shared" si="5"/>
        <v>3</v>
      </c>
    </row>
    <row r="8" spans="1:13" ht="15" thickBot="1" x14ac:dyDescent="0.35">
      <c r="A8" s="3" t="s">
        <v>9</v>
      </c>
      <c r="B8" s="6">
        <v>2016.0223999999996</v>
      </c>
      <c r="C8" s="6">
        <v>19.8904</v>
      </c>
      <c r="D8" s="6">
        <v>998.04989999999987</v>
      </c>
      <c r="E8" s="6">
        <v>17.43330000000001</v>
      </c>
      <c r="G8" s="3" t="s">
        <v>9</v>
      </c>
      <c r="H8" s="4">
        <f t="shared" si="1"/>
        <v>12</v>
      </c>
      <c r="I8" s="4">
        <f t="shared" si="2"/>
        <v>6</v>
      </c>
      <c r="J8" s="4">
        <f t="shared" si="3"/>
        <v>7</v>
      </c>
      <c r="K8" s="4">
        <f t="shared" si="4"/>
        <v>6</v>
      </c>
      <c r="L8" s="6">
        <f t="shared" si="0"/>
        <v>7.75</v>
      </c>
      <c r="M8" s="4">
        <f t="shared" si="5"/>
        <v>7</v>
      </c>
    </row>
    <row r="9" spans="1:13" ht="15" thickBot="1" x14ac:dyDescent="0.35">
      <c r="A9" s="3" t="s">
        <v>10</v>
      </c>
      <c r="B9" s="6">
        <v>5560.5175000000008</v>
      </c>
      <c r="C9" s="6">
        <v>41.408999999999999</v>
      </c>
      <c r="D9" s="6">
        <v>3776.7498999999993</v>
      </c>
      <c r="E9" s="6">
        <v>80.22920000000002</v>
      </c>
      <c r="G9" s="3" t="s">
        <v>10</v>
      </c>
      <c r="H9" s="4">
        <f t="shared" si="1"/>
        <v>13</v>
      </c>
      <c r="I9" s="4">
        <f t="shared" si="2"/>
        <v>9</v>
      </c>
      <c r="J9" s="4">
        <f t="shared" si="3"/>
        <v>13</v>
      </c>
      <c r="K9" s="4">
        <f t="shared" si="4"/>
        <v>15</v>
      </c>
      <c r="L9" s="6">
        <f t="shared" si="0"/>
        <v>12.5</v>
      </c>
      <c r="M9" s="4">
        <f t="shared" si="5"/>
        <v>13</v>
      </c>
    </row>
    <row r="10" spans="1:13" ht="15" thickBot="1" x14ac:dyDescent="0.35">
      <c r="A10" s="3" t="s">
        <v>11</v>
      </c>
      <c r="B10" s="6">
        <v>5902.7934000000005</v>
      </c>
      <c r="C10" s="6">
        <v>42.210699999999967</v>
      </c>
      <c r="D10" s="6">
        <v>3889.1134000000006</v>
      </c>
      <c r="E10" s="6">
        <v>68.913200000000003</v>
      </c>
      <c r="G10" s="3" t="s">
        <v>11</v>
      </c>
      <c r="H10" s="4">
        <f t="shared" si="1"/>
        <v>16</v>
      </c>
      <c r="I10" s="4">
        <f t="shared" si="2"/>
        <v>10</v>
      </c>
      <c r="J10" s="4">
        <f t="shared" si="3"/>
        <v>14</v>
      </c>
      <c r="K10" s="4">
        <f t="shared" si="4"/>
        <v>12</v>
      </c>
      <c r="L10" s="6">
        <f t="shared" si="0"/>
        <v>13</v>
      </c>
      <c r="M10" s="4">
        <f t="shared" si="5"/>
        <v>14</v>
      </c>
    </row>
    <row r="11" spans="1:13" ht="15" thickBot="1" x14ac:dyDescent="0.35">
      <c r="A11" s="3" t="s">
        <v>12</v>
      </c>
      <c r="B11" s="6">
        <v>5677.983000000002</v>
      </c>
      <c r="C11" s="6">
        <v>44.913300000000021</v>
      </c>
      <c r="D11" s="6">
        <v>3931.6689000000001</v>
      </c>
      <c r="E11" s="6">
        <v>73.470999999999975</v>
      </c>
      <c r="G11" s="3" t="s">
        <v>12</v>
      </c>
      <c r="H11" s="4">
        <f t="shared" si="1"/>
        <v>14</v>
      </c>
      <c r="I11" s="4">
        <f t="shared" si="2"/>
        <v>12</v>
      </c>
      <c r="J11" s="4">
        <f t="shared" si="3"/>
        <v>15</v>
      </c>
      <c r="K11" s="4">
        <f t="shared" si="4"/>
        <v>14</v>
      </c>
      <c r="L11" s="6">
        <f t="shared" si="0"/>
        <v>13.75</v>
      </c>
      <c r="M11" s="4">
        <f t="shared" si="5"/>
        <v>15</v>
      </c>
    </row>
    <row r="12" spans="1:13" ht="15" thickBot="1" x14ac:dyDescent="0.35">
      <c r="A12" s="3" t="s">
        <v>13</v>
      </c>
      <c r="B12" s="6">
        <v>5857.0552999999991</v>
      </c>
      <c r="C12" s="6">
        <v>43.089700000000001</v>
      </c>
      <c r="D12" s="6">
        <v>4090.3061999999986</v>
      </c>
      <c r="E12" s="6">
        <v>69.700999999999979</v>
      </c>
      <c r="G12" s="3" t="s">
        <v>13</v>
      </c>
      <c r="H12" s="4">
        <f t="shared" si="1"/>
        <v>15</v>
      </c>
      <c r="I12" s="4">
        <f t="shared" si="2"/>
        <v>11</v>
      </c>
      <c r="J12" s="4">
        <f t="shared" si="3"/>
        <v>16</v>
      </c>
      <c r="K12" s="4">
        <f t="shared" si="4"/>
        <v>13</v>
      </c>
      <c r="L12" s="6">
        <f t="shared" si="0"/>
        <v>13.75</v>
      </c>
      <c r="M12" s="4">
        <f t="shared" si="5"/>
        <v>15</v>
      </c>
    </row>
    <row r="13" spans="1:13" ht="15" thickBot="1" x14ac:dyDescent="0.35">
      <c r="A13" s="3" t="s">
        <v>14</v>
      </c>
      <c r="B13" s="6">
        <v>403.79870000000011</v>
      </c>
      <c r="C13" s="6">
        <v>378.14279999999997</v>
      </c>
      <c r="D13" s="6">
        <v>232.60730000000004</v>
      </c>
      <c r="E13" s="6">
        <v>63.2605</v>
      </c>
      <c r="G13" s="3" t="s">
        <v>14</v>
      </c>
      <c r="H13" s="4">
        <f t="shared" si="1"/>
        <v>3</v>
      </c>
      <c r="I13" s="4">
        <f t="shared" si="2"/>
        <v>16</v>
      </c>
      <c r="J13" s="4">
        <f t="shared" si="3"/>
        <v>2</v>
      </c>
      <c r="K13" s="4">
        <f t="shared" si="4"/>
        <v>11</v>
      </c>
      <c r="L13" s="6">
        <f t="shared" si="0"/>
        <v>8</v>
      </c>
      <c r="M13" s="4">
        <f t="shared" si="5"/>
        <v>9</v>
      </c>
    </row>
    <row r="14" spans="1:13" ht="15" thickBot="1" x14ac:dyDescent="0.35">
      <c r="A14" s="3" t="s">
        <v>15</v>
      </c>
      <c r="B14" s="6">
        <v>1216.1628999999996</v>
      </c>
      <c r="C14" s="6">
        <v>104.70900000000002</v>
      </c>
      <c r="D14" s="6">
        <v>348.86649999999986</v>
      </c>
      <c r="E14" s="6">
        <v>25.986299999999993</v>
      </c>
      <c r="G14" s="3" t="s">
        <v>15</v>
      </c>
      <c r="H14" s="4">
        <f t="shared" si="1"/>
        <v>7</v>
      </c>
      <c r="I14" s="4">
        <f t="shared" si="2"/>
        <v>13</v>
      </c>
      <c r="J14" s="4">
        <f t="shared" si="3"/>
        <v>3</v>
      </c>
      <c r="K14" s="4">
        <f t="shared" si="4"/>
        <v>9</v>
      </c>
      <c r="L14" s="6">
        <f t="shared" si="0"/>
        <v>8</v>
      </c>
      <c r="M14" s="4">
        <f t="shared" si="5"/>
        <v>9</v>
      </c>
    </row>
    <row r="15" spans="1:13" ht="15" thickBot="1" x14ac:dyDescent="0.35">
      <c r="A15" s="3" t="s">
        <v>16</v>
      </c>
      <c r="B15" s="6">
        <v>507.5741000000001</v>
      </c>
      <c r="C15" s="6">
        <v>167.91089999999994</v>
      </c>
      <c r="D15" s="6">
        <v>642.34979999999985</v>
      </c>
      <c r="E15" s="6">
        <v>30.911299999999994</v>
      </c>
      <c r="G15" s="3" t="s">
        <v>16</v>
      </c>
      <c r="H15" s="4">
        <f t="shared" si="1"/>
        <v>5</v>
      </c>
      <c r="I15" s="4">
        <f t="shared" si="2"/>
        <v>15</v>
      </c>
      <c r="J15" s="4">
        <f t="shared" si="3"/>
        <v>5</v>
      </c>
      <c r="K15" s="4">
        <f t="shared" si="4"/>
        <v>10</v>
      </c>
      <c r="L15" s="6">
        <f t="shared" si="0"/>
        <v>8.75</v>
      </c>
      <c r="M15" s="4">
        <f t="shared" si="5"/>
        <v>11</v>
      </c>
    </row>
    <row r="16" spans="1:13" ht="15" thickBot="1" x14ac:dyDescent="0.35">
      <c r="A16" s="3" t="s">
        <v>17</v>
      </c>
      <c r="B16" s="6">
        <v>358.30340000000001</v>
      </c>
      <c r="C16" s="6">
        <v>5.8167999999999997</v>
      </c>
      <c r="D16" s="6">
        <v>429.80150000000003</v>
      </c>
      <c r="E16" s="6">
        <v>19.502699999999987</v>
      </c>
      <c r="G16" s="3" t="s">
        <v>17</v>
      </c>
      <c r="H16" s="4">
        <f t="shared" si="1"/>
        <v>2</v>
      </c>
      <c r="I16" s="4">
        <f t="shared" si="2"/>
        <v>2</v>
      </c>
      <c r="J16" s="4">
        <f t="shared" si="3"/>
        <v>4</v>
      </c>
      <c r="K16" s="4">
        <f t="shared" si="4"/>
        <v>8</v>
      </c>
      <c r="L16" s="6">
        <f t="shared" si="0"/>
        <v>4</v>
      </c>
      <c r="M16" s="4">
        <f t="shared" si="5"/>
        <v>2</v>
      </c>
    </row>
    <row r="17" spans="1:13" ht="15" thickBot="1" x14ac:dyDescent="0.35">
      <c r="A17" s="3" t="s">
        <v>18</v>
      </c>
      <c r="B17" s="6">
        <v>500.73650000000009</v>
      </c>
      <c r="C17" s="6">
        <v>109.99789999999993</v>
      </c>
      <c r="D17" s="6">
        <v>1595.4133000000002</v>
      </c>
      <c r="E17" s="6">
        <v>99.491100000000017</v>
      </c>
      <c r="G17" s="3" t="s">
        <v>18</v>
      </c>
      <c r="H17" s="4">
        <f t="shared" si="1"/>
        <v>4</v>
      </c>
      <c r="I17" s="4">
        <f t="shared" si="2"/>
        <v>14</v>
      </c>
      <c r="J17" s="4">
        <f t="shared" si="3"/>
        <v>10</v>
      </c>
      <c r="K17" s="4">
        <f t="shared" si="4"/>
        <v>16</v>
      </c>
      <c r="L17" s="6">
        <f t="shared" si="0"/>
        <v>11</v>
      </c>
      <c r="M17" s="4">
        <f t="shared" si="5"/>
        <v>12</v>
      </c>
    </row>
    <row r="18" spans="1:13" ht="15" thickBot="1" x14ac:dyDescent="0.35">
      <c r="A18" s="3" t="s">
        <v>19</v>
      </c>
      <c r="B18" s="6">
        <v>76.224599999999995</v>
      </c>
      <c r="C18" s="6">
        <v>3.2317000000000013</v>
      </c>
      <c r="D18" s="6">
        <v>119.94240000000002</v>
      </c>
      <c r="E18" s="6">
        <v>8.4131</v>
      </c>
      <c r="G18" s="3" t="s">
        <v>19</v>
      </c>
      <c r="H18" s="4">
        <f t="shared" si="1"/>
        <v>1</v>
      </c>
      <c r="I18" s="4">
        <f t="shared" si="2"/>
        <v>1</v>
      </c>
      <c r="J18" s="4">
        <f t="shared" si="3"/>
        <v>1</v>
      </c>
      <c r="K18" s="4">
        <f t="shared" si="4"/>
        <v>5</v>
      </c>
      <c r="L18" s="6">
        <f t="shared" si="0"/>
        <v>2</v>
      </c>
      <c r="M18" s="4">
        <f t="shared" si="5"/>
        <v>1</v>
      </c>
    </row>
  </sheetData>
  <mergeCells count="2">
    <mergeCell ref="A1:E1"/>
    <mergeCell ref="G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11ECC-237D-4673-B8CC-701C9AFD7F87}">
  <dimension ref="A1:M18"/>
  <sheetViews>
    <sheetView workbookViewId="0">
      <selection activeCell="F24" sqref="F24"/>
    </sheetView>
  </sheetViews>
  <sheetFormatPr defaultRowHeight="14.4" x14ac:dyDescent="0.3"/>
  <cols>
    <col min="1" max="1" width="15.44140625" customWidth="1"/>
    <col min="2" max="2" width="15.109375" customWidth="1"/>
    <col min="3" max="3" width="9.6640625" customWidth="1"/>
    <col min="4" max="4" width="10.33203125" customWidth="1"/>
    <col min="5" max="5" width="12.109375" customWidth="1"/>
    <col min="7" max="7" width="15.44140625" customWidth="1"/>
    <col min="8" max="8" width="15.109375" customWidth="1"/>
    <col min="9" max="9" width="9.6640625" customWidth="1"/>
    <col min="10" max="10" width="10.33203125" customWidth="1"/>
    <col min="11" max="11" width="14.44140625" customWidth="1"/>
    <col min="12" max="12" width="14.109375" customWidth="1"/>
    <col min="13" max="13" width="11.88671875" customWidth="1"/>
  </cols>
  <sheetData>
    <row r="1" spans="1:13" ht="15" thickBot="1" x14ac:dyDescent="0.35">
      <c r="A1" s="17" t="s">
        <v>37</v>
      </c>
      <c r="B1" s="17"/>
      <c r="C1" s="17"/>
      <c r="D1" s="17"/>
      <c r="E1" s="17"/>
      <c r="G1" s="17" t="s">
        <v>24</v>
      </c>
      <c r="H1" s="17"/>
      <c r="I1" s="17"/>
      <c r="J1" s="17"/>
      <c r="K1" s="17"/>
      <c r="L1" s="17"/>
      <c r="M1" s="17"/>
    </row>
    <row r="2" spans="1:13" ht="15" thickBot="1" x14ac:dyDescent="0.35">
      <c r="A2" s="1" t="s">
        <v>0</v>
      </c>
      <c r="B2" s="2" t="s">
        <v>33</v>
      </c>
      <c r="C2" s="2" t="s">
        <v>34</v>
      </c>
      <c r="D2" s="2" t="s">
        <v>35</v>
      </c>
      <c r="E2" s="1" t="s">
        <v>36</v>
      </c>
      <c r="G2" s="1" t="s">
        <v>0</v>
      </c>
      <c r="H2" s="2" t="s">
        <v>33</v>
      </c>
      <c r="I2" s="2" t="s">
        <v>34</v>
      </c>
      <c r="J2" s="2" t="s">
        <v>35</v>
      </c>
      <c r="K2" s="1" t="s">
        <v>36</v>
      </c>
      <c r="L2" s="2" t="s">
        <v>2</v>
      </c>
      <c r="M2" s="2" t="s">
        <v>25</v>
      </c>
    </row>
    <row r="3" spans="1:13" ht="15" thickBot="1" x14ac:dyDescent="0.35">
      <c r="A3" s="3" t="s">
        <v>20</v>
      </c>
      <c r="B3" s="6">
        <v>170.54169233889965</v>
      </c>
      <c r="C3" s="6">
        <v>8.3151268386859147</v>
      </c>
      <c r="D3" s="6">
        <v>168.47811767920933</v>
      </c>
      <c r="E3" s="6">
        <v>0.14541143300471679</v>
      </c>
      <c r="G3" s="3" t="s">
        <v>20</v>
      </c>
      <c r="H3" s="4">
        <f>RANK(B3,B$3:B$18,1)</f>
        <v>5</v>
      </c>
      <c r="I3" s="4">
        <f>RANK(C3,C$3:C$18,1)</f>
        <v>5</v>
      </c>
      <c r="J3" s="4">
        <f>RANK(D3,D$3:D$18,1)</f>
        <v>6</v>
      </c>
      <c r="K3" s="4">
        <f>RANK(E3,E$3:E$18,1)</f>
        <v>1</v>
      </c>
      <c r="L3" s="6">
        <f t="shared" ref="L3:L18" si="0">AVERAGE(H3:K3)</f>
        <v>4.25</v>
      </c>
      <c r="M3" s="4">
        <f>RANK(L3,L$3:L$18,1)</f>
        <v>3</v>
      </c>
    </row>
    <row r="4" spans="1:13" ht="15" thickBot="1" x14ac:dyDescent="0.35">
      <c r="A4" s="3" t="s">
        <v>21</v>
      </c>
      <c r="B4" s="6">
        <v>167.70673997177585</v>
      </c>
      <c r="C4" s="6">
        <v>5.2894010888557039</v>
      </c>
      <c r="D4" s="6">
        <v>130.74933564541416</v>
      </c>
      <c r="E4" s="6">
        <v>1.7171516790571781</v>
      </c>
      <c r="G4" s="3" t="s">
        <v>21</v>
      </c>
      <c r="H4" s="4">
        <f t="shared" ref="H4:H18" si="1">RANK(B4,B$3:B$18,1)</f>
        <v>4</v>
      </c>
      <c r="I4" s="4">
        <f t="shared" ref="I4:I18" si="2">RANK(C4,C$3:C$18,1)</f>
        <v>2</v>
      </c>
      <c r="J4" s="4">
        <f t="shared" ref="J4:J18" si="3">RANK(D4,D$3:D$18,1)</f>
        <v>4</v>
      </c>
      <c r="K4" s="4">
        <f t="shared" ref="K4:K18" si="4">RANK(E4,E$3:E$18,1)</f>
        <v>4</v>
      </c>
      <c r="L4" s="6">
        <f t="shared" si="0"/>
        <v>3.5</v>
      </c>
      <c r="M4" s="4">
        <f t="shared" ref="M4:M18" si="5">RANK(L4,L$3:L$18,1)</f>
        <v>2</v>
      </c>
    </row>
    <row r="5" spans="1:13" ht="15" thickBot="1" x14ac:dyDescent="0.35">
      <c r="A5" s="3" t="s">
        <v>22</v>
      </c>
      <c r="B5" s="6">
        <v>190.8259381247012</v>
      </c>
      <c r="C5" s="6">
        <v>6.2904438313968791</v>
      </c>
      <c r="D5" s="6">
        <v>174.26485763488307</v>
      </c>
      <c r="E5" s="6">
        <v>9.1410120889374848</v>
      </c>
      <c r="G5" s="3" t="s">
        <v>22</v>
      </c>
      <c r="H5" s="4">
        <f t="shared" si="1"/>
        <v>6</v>
      </c>
      <c r="I5" s="4">
        <f t="shared" si="2"/>
        <v>3</v>
      </c>
      <c r="J5" s="4">
        <f t="shared" si="3"/>
        <v>7</v>
      </c>
      <c r="K5" s="4">
        <f t="shared" si="4"/>
        <v>9</v>
      </c>
      <c r="L5" s="6">
        <f t="shared" si="0"/>
        <v>6.25</v>
      </c>
      <c r="M5" s="4">
        <f t="shared" si="5"/>
        <v>5</v>
      </c>
    </row>
    <row r="6" spans="1:13" ht="15" thickBot="1" x14ac:dyDescent="0.35">
      <c r="A6" s="3" t="s">
        <v>7</v>
      </c>
      <c r="B6" s="6">
        <v>1484.8982862288465</v>
      </c>
      <c r="C6" s="6">
        <v>18.985501299303607</v>
      </c>
      <c r="D6" s="6">
        <v>932.07113033904227</v>
      </c>
      <c r="E6" s="6">
        <v>0.43922567311029515</v>
      </c>
      <c r="G6" s="3" t="s">
        <v>7</v>
      </c>
      <c r="H6" s="4">
        <f t="shared" si="1"/>
        <v>10</v>
      </c>
      <c r="I6" s="4">
        <f t="shared" si="2"/>
        <v>12</v>
      </c>
      <c r="J6" s="4">
        <f t="shared" si="3"/>
        <v>10</v>
      </c>
      <c r="K6" s="4">
        <f t="shared" si="4"/>
        <v>2</v>
      </c>
      <c r="L6" s="6">
        <f t="shared" si="0"/>
        <v>8.5</v>
      </c>
      <c r="M6" s="4">
        <f t="shared" si="5"/>
        <v>9</v>
      </c>
    </row>
    <row r="7" spans="1:13" ht="15" thickBot="1" x14ac:dyDescent="0.35">
      <c r="A7" s="3" t="s">
        <v>8</v>
      </c>
      <c r="B7" s="6">
        <v>101.90310097659672</v>
      </c>
      <c r="C7" s="6">
        <v>7.8913762539761416</v>
      </c>
      <c r="D7" s="6">
        <v>335.0771574534146</v>
      </c>
      <c r="E7" s="6">
        <v>3.2250053887669425</v>
      </c>
      <c r="G7" s="3" t="s">
        <v>8</v>
      </c>
      <c r="H7" s="4">
        <f t="shared" si="1"/>
        <v>2</v>
      </c>
      <c r="I7" s="4">
        <f t="shared" si="2"/>
        <v>4</v>
      </c>
      <c r="J7" s="4">
        <f t="shared" si="3"/>
        <v>8</v>
      </c>
      <c r="K7" s="4">
        <f t="shared" si="4"/>
        <v>6</v>
      </c>
      <c r="L7" s="6">
        <f t="shared" si="0"/>
        <v>5</v>
      </c>
      <c r="M7" s="4">
        <f t="shared" si="5"/>
        <v>4</v>
      </c>
    </row>
    <row r="8" spans="1:13" ht="15" thickBot="1" x14ac:dyDescent="0.35">
      <c r="A8" s="3" t="s">
        <v>9</v>
      </c>
      <c r="B8" s="6">
        <v>340.31944939810552</v>
      </c>
      <c r="C8" s="6">
        <v>9.3778040030271512</v>
      </c>
      <c r="D8" s="6">
        <v>647.59255818855911</v>
      </c>
      <c r="E8" s="6">
        <v>7.7162813641616674</v>
      </c>
      <c r="G8" s="3" t="s">
        <v>9</v>
      </c>
      <c r="H8" s="4">
        <f t="shared" si="1"/>
        <v>7</v>
      </c>
      <c r="I8" s="4">
        <f t="shared" si="2"/>
        <v>6</v>
      </c>
      <c r="J8" s="4">
        <f t="shared" si="3"/>
        <v>9</v>
      </c>
      <c r="K8" s="4">
        <f t="shared" si="4"/>
        <v>8</v>
      </c>
      <c r="L8" s="6">
        <f t="shared" si="0"/>
        <v>7.5</v>
      </c>
      <c r="M8" s="4">
        <f t="shared" si="5"/>
        <v>7</v>
      </c>
    </row>
    <row r="9" spans="1:13" ht="15" thickBot="1" x14ac:dyDescent="0.35">
      <c r="A9" s="3" t="s">
        <v>10</v>
      </c>
      <c r="B9" s="6">
        <v>3006.8091444886472</v>
      </c>
      <c r="C9" s="6">
        <v>12.883595512640669</v>
      </c>
      <c r="D9" s="6">
        <v>1367.0192831951063</v>
      </c>
      <c r="E9" s="6">
        <v>127.62641423888215</v>
      </c>
      <c r="G9" s="3" t="s">
        <v>10</v>
      </c>
      <c r="H9" s="4">
        <f t="shared" si="1"/>
        <v>15</v>
      </c>
      <c r="I9" s="4">
        <f t="shared" si="2"/>
        <v>8</v>
      </c>
      <c r="J9" s="4">
        <f t="shared" si="3"/>
        <v>11</v>
      </c>
      <c r="K9" s="4">
        <f t="shared" si="4"/>
        <v>16</v>
      </c>
      <c r="L9" s="6">
        <f t="shared" si="0"/>
        <v>12.5</v>
      </c>
      <c r="M9" s="4">
        <f t="shared" si="5"/>
        <v>14</v>
      </c>
    </row>
    <row r="10" spans="1:13" ht="15" thickBot="1" x14ac:dyDescent="0.35">
      <c r="A10" s="3" t="s">
        <v>11</v>
      </c>
      <c r="B10" s="6">
        <v>3018.5442855915167</v>
      </c>
      <c r="C10" s="6">
        <v>16.726350846385071</v>
      </c>
      <c r="D10" s="6">
        <v>1734.7110907584693</v>
      </c>
      <c r="E10" s="6">
        <v>80.935129228240086</v>
      </c>
      <c r="G10" s="3" t="s">
        <v>11</v>
      </c>
      <c r="H10" s="4">
        <f t="shared" si="1"/>
        <v>16</v>
      </c>
      <c r="I10" s="4">
        <f t="shared" si="2"/>
        <v>11</v>
      </c>
      <c r="J10" s="4">
        <f t="shared" si="3"/>
        <v>13</v>
      </c>
      <c r="K10" s="4">
        <f t="shared" si="4"/>
        <v>13</v>
      </c>
      <c r="L10" s="6">
        <f t="shared" si="0"/>
        <v>13.25</v>
      </c>
      <c r="M10" s="4">
        <f t="shared" si="5"/>
        <v>15</v>
      </c>
    </row>
    <row r="11" spans="1:13" ht="15" thickBot="1" x14ac:dyDescent="0.35">
      <c r="A11" s="3" t="s">
        <v>12</v>
      </c>
      <c r="B11" s="6">
        <v>1939.3880903055938</v>
      </c>
      <c r="C11" s="6">
        <v>13.726963075007685</v>
      </c>
      <c r="D11" s="6">
        <v>1423.7431994803185</v>
      </c>
      <c r="E11" s="6">
        <v>85.304200726670913</v>
      </c>
      <c r="G11" s="3" t="s">
        <v>12</v>
      </c>
      <c r="H11" s="4">
        <f t="shared" si="1"/>
        <v>13</v>
      </c>
      <c r="I11" s="4">
        <f t="shared" si="2"/>
        <v>9</v>
      </c>
      <c r="J11" s="4">
        <f t="shared" si="3"/>
        <v>12</v>
      </c>
      <c r="K11" s="4">
        <f t="shared" si="4"/>
        <v>14</v>
      </c>
      <c r="L11" s="6">
        <f t="shared" si="0"/>
        <v>12</v>
      </c>
      <c r="M11" s="4">
        <f t="shared" si="5"/>
        <v>11</v>
      </c>
    </row>
    <row r="12" spans="1:13" ht="15" thickBot="1" x14ac:dyDescent="0.35">
      <c r="A12" s="3" t="s">
        <v>13</v>
      </c>
      <c r="B12" s="6">
        <v>1922.990748040512</v>
      </c>
      <c r="C12" s="6">
        <v>13.834073616920787</v>
      </c>
      <c r="D12" s="6">
        <v>1794.9975549021271</v>
      </c>
      <c r="E12" s="6">
        <v>49.50483428082272</v>
      </c>
      <c r="G12" s="3" t="s">
        <v>13</v>
      </c>
      <c r="H12" s="4">
        <f t="shared" si="1"/>
        <v>12</v>
      </c>
      <c r="I12" s="4">
        <f t="shared" si="2"/>
        <v>10</v>
      </c>
      <c r="J12" s="4">
        <f t="shared" si="3"/>
        <v>14</v>
      </c>
      <c r="K12" s="4">
        <f t="shared" si="4"/>
        <v>12</v>
      </c>
      <c r="L12" s="6">
        <f t="shared" si="0"/>
        <v>12</v>
      </c>
      <c r="M12" s="4">
        <f t="shared" si="5"/>
        <v>11</v>
      </c>
    </row>
    <row r="13" spans="1:13" ht="15" thickBot="1" x14ac:dyDescent="0.35">
      <c r="A13" s="3" t="s">
        <v>14</v>
      </c>
      <c r="B13" s="6">
        <v>783.38905362063645</v>
      </c>
      <c r="C13" s="6">
        <v>251.97284725080371</v>
      </c>
      <c r="D13" s="6">
        <v>40.507569210499589</v>
      </c>
      <c r="E13" s="6">
        <v>3.5080623950660801</v>
      </c>
      <c r="G13" s="3" t="s">
        <v>14</v>
      </c>
      <c r="H13" s="4">
        <f t="shared" si="1"/>
        <v>9</v>
      </c>
      <c r="I13" s="4">
        <f t="shared" si="2"/>
        <v>15</v>
      </c>
      <c r="J13" s="4">
        <f t="shared" si="3"/>
        <v>3</v>
      </c>
      <c r="K13" s="4">
        <f t="shared" si="4"/>
        <v>7</v>
      </c>
      <c r="L13" s="6">
        <f t="shared" si="0"/>
        <v>8.5</v>
      </c>
      <c r="M13" s="4">
        <f t="shared" si="5"/>
        <v>9</v>
      </c>
    </row>
    <row r="14" spans="1:13" ht="15" thickBot="1" x14ac:dyDescent="0.35">
      <c r="A14" s="3" t="s">
        <v>15</v>
      </c>
      <c r="B14" s="6">
        <v>2478.2382438423911</v>
      </c>
      <c r="C14" s="6">
        <v>43.950872884081846</v>
      </c>
      <c r="D14" s="6">
        <v>31.507042322456915</v>
      </c>
      <c r="E14" s="6">
        <v>1.4162788453114619</v>
      </c>
      <c r="G14" s="3" t="s">
        <v>15</v>
      </c>
      <c r="H14" s="4">
        <f t="shared" si="1"/>
        <v>14</v>
      </c>
      <c r="I14" s="4">
        <f t="shared" si="2"/>
        <v>13</v>
      </c>
      <c r="J14" s="4">
        <f t="shared" si="3"/>
        <v>2</v>
      </c>
      <c r="K14" s="4">
        <f t="shared" si="4"/>
        <v>3</v>
      </c>
      <c r="L14" s="6">
        <f t="shared" si="0"/>
        <v>8</v>
      </c>
      <c r="M14" s="4">
        <f t="shared" si="5"/>
        <v>8</v>
      </c>
    </row>
    <row r="15" spans="1:13" ht="15" thickBot="1" x14ac:dyDescent="0.35">
      <c r="A15" s="3" t="s">
        <v>16</v>
      </c>
      <c r="B15" s="6">
        <v>1755.1948931579848</v>
      </c>
      <c r="C15" s="6">
        <v>906.38087862195391</v>
      </c>
      <c r="D15" s="6">
        <v>2185.1562806667471</v>
      </c>
      <c r="E15" s="6">
        <v>96.988176189240477</v>
      </c>
      <c r="G15" s="3" t="s">
        <v>16</v>
      </c>
      <c r="H15" s="4">
        <f t="shared" si="1"/>
        <v>11</v>
      </c>
      <c r="I15" s="4">
        <f t="shared" si="2"/>
        <v>16</v>
      </c>
      <c r="J15" s="4">
        <f t="shared" si="3"/>
        <v>15</v>
      </c>
      <c r="K15" s="4">
        <f t="shared" si="4"/>
        <v>15</v>
      </c>
      <c r="L15" s="6">
        <f t="shared" si="0"/>
        <v>14.25</v>
      </c>
      <c r="M15" s="4">
        <f t="shared" si="5"/>
        <v>16</v>
      </c>
    </row>
    <row r="16" spans="1:13" ht="15" thickBot="1" x14ac:dyDescent="0.35">
      <c r="A16" s="3" t="s">
        <v>17</v>
      </c>
      <c r="B16" s="6">
        <v>104.54502340922944</v>
      </c>
      <c r="C16" s="6">
        <v>9.4288944348012649</v>
      </c>
      <c r="D16" s="6">
        <v>159.19725079078299</v>
      </c>
      <c r="E16" s="6">
        <v>29.530414482445902</v>
      </c>
      <c r="G16" s="3" t="s">
        <v>17</v>
      </c>
      <c r="H16" s="4">
        <f t="shared" si="1"/>
        <v>3</v>
      </c>
      <c r="I16" s="4">
        <f t="shared" si="2"/>
        <v>7</v>
      </c>
      <c r="J16" s="4">
        <f t="shared" si="3"/>
        <v>5</v>
      </c>
      <c r="K16" s="4">
        <f t="shared" si="4"/>
        <v>10</v>
      </c>
      <c r="L16" s="6">
        <f t="shared" si="0"/>
        <v>6.25</v>
      </c>
      <c r="M16" s="4">
        <f t="shared" si="5"/>
        <v>5</v>
      </c>
    </row>
    <row r="17" spans="1:13" ht="15" thickBot="1" x14ac:dyDescent="0.35">
      <c r="A17" s="3" t="s">
        <v>18</v>
      </c>
      <c r="B17" s="6">
        <v>657.2124490825172</v>
      </c>
      <c r="C17" s="6">
        <v>114.61872732289967</v>
      </c>
      <c r="D17" s="6">
        <v>3365.5997069632658</v>
      </c>
      <c r="E17" s="6">
        <v>46.032569078311113</v>
      </c>
      <c r="G17" s="3" t="s">
        <v>18</v>
      </c>
      <c r="H17" s="4">
        <f t="shared" si="1"/>
        <v>8</v>
      </c>
      <c r="I17" s="4">
        <f t="shared" si="2"/>
        <v>14</v>
      </c>
      <c r="J17" s="4">
        <f t="shared" si="3"/>
        <v>16</v>
      </c>
      <c r="K17" s="4">
        <f t="shared" si="4"/>
        <v>11</v>
      </c>
      <c r="L17" s="6">
        <f t="shared" si="0"/>
        <v>12.25</v>
      </c>
      <c r="M17" s="4">
        <f t="shared" si="5"/>
        <v>13</v>
      </c>
    </row>
    <row r="18" spans="1:13" ht="15" thickBot="1" x14ac:dyDescent="0.35">
      <c r="A18" s="3" t="s">
        <v>19</v>
      </c>
      <c r="B18" s="6">
        <v>18.962925679953344</v>
      </c>
      <c r="C18" s="6">
        <v>1.2312086982253871</v>
      </c>
      <c r="D18" s="6">
        <v>21.170620347523595</v>
      </c>
      <c r="E18" s="6">
        <v>1.8785760215351526</v>
      </c>
      <c r="G18" s="3" t="s">
        <v>19</v>
      </c>
      <c r="H18" s="4">
        <f t="shared" si="1"/>
        <v>1</v>
      </c>
      <c r="I18" s="4">
        <f t="shared" si="2"/>
        <v>1</v>
      </c>
      <c r="J18" s="4">
        <f t="shared" si="3"/>
        <v>1</v>
      </c>
      <c r="K18" s="4">
        <f t="shared" si="4"/>
        <v>5</v>
      </c>
      <c r="L18" s="6">
        <f t="shared" si="0"/>
        <v>2</v>
      </c>
      <c r="M18" s="4">
        <f t="shared" si="5"/>
        <v>1</v>
      </c>
    </row>
  </sheetData>
  <mergeCells count="2">
    <mergeCell ref="A1:E1"/>
    <mergeCell ref="G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B409C-9343-44A0-8AA6-E7793D73053B}">
  <dimension ref="A1:Y18"/>
  <sheetViews>
    <sheetView zoomScale="70" zoomScaleNormal="70" workbookViewId="0">
      <selection activeCell="Y3" sqref="Y3:Y5"/>
    </sheetView>
  </sheetViews>
  <sheetFormatPr defaultRowHeight="14.4" x14ac:dyDescent="0.3"/>
  <cols>
    <col min="1" max="1" width="15.44140625" customWidth="1"/>
    <col min="2" max="2" width="15.109375" customWidth="1"/>
    <col min="3" max="3" width="9.6640625" customWidth="1"/>
    <col min="4" max="4" width="10.33203125" customWidth="1"/>
    <col min="5" max="11" width="12.109375" customWidth="1"/>
    <col min="13" max="13" width="15.44140625" customWidth="1"/>
    <col min="14" max="14" width="15.109375" customWidth="1"/>
    <col min="15" max="15" width="9.6640625" customWidth="1"/>
    <col min="16" max="16" width="10.33203125" customWidth="1"/>
    <col min="17" max="17" width="9.5546875" customWidth="1"/>
    <col min="18" max="18" width="10.77734375" customWidth="1"/>
    <col min="19" max="19" width="11.88671875" customWidth="1"/>
  </cols>
  <sheetData>
    <row r="1" spans="1:25" ht="15" thickBot="1" x14ac:dyDescent="0.35">
      <c r="A1" s="17" t="s">
        <v>26</v>
      </c>
      <c r="B1" s="17"/>
      <c r="C1" s="17"/>
      <c r="D1" s="17"/>
      <c r="E1" s="17"/>
      <c r="F1" s="17"/>
      <c r="G1" s="17"/>
      <c r="H1" s="17"/>
      <c r="I1" s="17"/>
      <c r="J1" s="17"/>
      <c r="K1" s="17"/>
      <c r="M1" s="17" t="s">
        <v>24</v>
      </c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2" spans="1:25" ht="15" thickBot="1" x14ac:dyDescent="0.35">
      <c r="A2" s="1" t="s">
        <v>0</v>
      </c>
      <c r="B2" s="2" t="s">
        <v>38</v>
      </c>
      <c r="C2" s="2" t="s">
        <v>39</v>
      </c>
      <c r="D2" s="2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2" t="s">
        <v>45</v>
      </c>
      <c r="J2" s="2" t="s">
        <v>46</v>
      </c>
      <c r="K2" s="2" t="s">
        <v>47</v>
      </c>
      <c r="M2" s="1" t="s">
        <v>0</v>
      </c>
      <c r="N2" s="2" t="s">
        <v>38</v>
      </c>
      <c r="O2" s="2" t="s">
        <v>39</v>
      </c>
      <c r="P2" s="2" t="s">
        <v>40</v>
      </c>
      <c r="Q2" s="1" t="s">
        <v>41</v>
      </c>
      <c r="R2" s="1" t="s">
        <v>42</v>
      </c>
      <c r="S2" s="1" t="s">
        <v>43</v>
      </c>
      <c r="T2" s="1" t="s">
        <v>44</v>
      </c>
      <c r="U2" s="2" t="s">
        <v>45</v>
      </c>
      <c r="V2" s="2" t="s">
        <v>46</v>
      </c>
      <c r="W2" s="2" t="s">
        <v>47</v>
      </c>
      <c r="X2" s="2" t="s">
        <v>2</v>
      </c>
      <c r="Y2" s="2" t="s">
        <v>25</v>
      </c>
    </row>
    <row r="3" spans="1:25" ht="15" thickBot="1" x14ac:dyDescent="0.35">
      <c r="A3" s="3" t="s">
        <v>20</v>
      </c>
      <c r="B3" s="6"/>
      <c r="C3" s="6"/>
      <c r="D3" s="6"/>
      <c r="E3" s="6"/>
      <c r="F3" s="6"/>
      <c r="G3" s="6"/>
      <c r="H3" s="6"/>
      <c r="I3" s="6"/>
      <c r="J3" s="6"/>
      <c r="K3" s="6"/>
      <c r="M3" s="3" t="s">
        <v>20</v>
      </c>
      <c r="N3" s="4"/>
      <c r="O3" s="4"/>
      <c r="P3" s="4"/>
      <c r="Q3" s="4"/>
      <c r="R3" s="6"/>
      <c r="S3" s="4"/>
      <c r="T3" s="6"/>
      <c r="U3" s="4"/>
      <c r="V3" s="6"/>
      <c r="W3" s="4"/>
      <c r="X3" s="6"/>
      <c r="Y3" s="4">
        <v>16</v>
      </c>
    </row>
    <row r="4" spans="1:25" ht="15" thickBot="1" x14ac:dyDescent="0.35">
      <c r="A4" s="3" t="s">
        <v>21</v>
      </c>
      <c r="B4" s="6"/>
      <c r="C4" s="6"/>
      <c r="D4" s="6"/>
      <c r="E4" s="6"/>
      <c r="F4" s="6"/>
      <c r="G4" s="6"/>
      <c r="H4" s="6"/>
      <c r="I4" s="6"/>
      <c r="J4" s="6"/>
      <c r="K4" s="6"/>
      <c r="M4" s="3" t="s">
        <v>21</v>
      </c>
      <c r="N4" s="4"/>
      <c r="O4" s="4"/>
      <c r="P4" s="4"/>
      <c r="Q4" s="4"/>
      <c r="R4" s="6"/>
      <c r="S4" s="4"/>
      <c r="T4" s="6"/>
      <c r="U4" s="4"/>
      <c r="V4" s="6"/>
      <c r="W4" s="4"/>
      <c r="X4" s="6"/>
      <c r="Y4" s="4">
        <v>16</v>
      </c>
    </row>
    <row r="5" spans="1:25" ht="15" thickBot="1" x14ac:dyDescent="0.35">
      <c r="A5" s="3" t="s">
        <v>22</v>
      </c>
      <c r="B5" s="6"/>
      <c r="C5" s="6"/>
      <c r="D5" s="6"/>
      <c r="E5" s="6"/>
      <c r="F5" s="6"/>
      <c r="G5" s="6"/>
      <c r="H5" s="6"/>
      <c r="I5" s="6"/>
      <c r="J5" s="6"/>
      <c r="K5" s="6"/>
      <c r="M5" s="3" t="s">
        <v>22</v>
      </c>
      <c r="N5" s="4"/>
      <c r="O5" s="4"/>
      <c r="P5" s="4"/>
      <c r="Q5" s="4"/>
      <c r="R5" s="6"/>
      <c r="S5" s="4"/>
      <c r="T5" s="6"/>
      <c r="U5" s="4"/>
      <c r="V5" s="6"/>
      <c r="W5" s="4"/>
      <c r="X5" s="6"/>
      <c r="Y5" s="4">
        <v>16</v>
      </c>
    </row>
    <row r="6" spans="1:25" ht="15" thickBot="1" x14ac:dyDescent="0.35">
      <c r="A6" s="3" t="s">
        <v>7</v>
      </c>
      <c r="B6" s="6">
        <v>273.23509999999999</v>
      </c>
      <c r="C6" s="6">
        <v>335.57420000000013</v>
      </c>
      <c r="D6" s="6">
        <v>297.30680000000001</v>
      </c>
      <c r="E6" s="6">
        <v>303.02220000000011</v>
      </c>
      <c r="F6" s="6">
        <v>283.75789999999989</v>
      </c>
      <c r="G6" s="6">
        <v>282.47849999999994</v>
      </c>
      <c r="H6" s="6">
        <v>341.18720000000008</v>
      </c>
      <c r="I6" s="6">
        <v>380.71590000000003</v>
      </c>
      <c r="J6" s="6">
        <v>297.10230000000007</v>
      </c>
      <c r="K6" s="6">
        <v>839.06710000000032</v>
      </c>
      <c r="M6" s="3" t="s">
        <v>7</v>
      </c>
      <c r="N6" s="4">
        <f>RANK(B6,B$6:B$18,1)</f>
        <v>9</v>
      </c>
      <c r="O6" s="4">
        <f t="shared" ref="O6:W18" si="0">RANK(C6,C$6:C$18,1)</f>
        <v>2</v>
      </c>
      <c r="P6" s="4">
        <f t="shared" si="0"/>
        <v>1</v>
      </c>
      <c r="Q6" s="4">
        <f t="shared" si="0"/>
        <v>8</v>
      </c>
      <c r="R6" s="4">
        <f t="shared" si="0"/>
        <v>9</v>
      </c>
      <c r="S6" s="4">
        <f t="shared" si="0"/>
        <v>7</v>
      </c>
      <c r="T6" s="4">
        <f t="shared" si="0"/>
        <v>8</v>
      </c>
      <c r="U6" s="4">
        <f t="shared" si="0"/>
        <v>7</v>
      </c>
      <c r="V6" s="4">
        <f t="shared" si="0"/>
        <v>9</v>
      </c>
      <c r="W6" s="4">
        <f t="shared" si="0"/>
        <v>1</v>
      </c>
      <c r="X6" s="6">
        <f>AVERAGE(N6:W6)</f>
        <v>6.1</v>
      </c>
      <c r="Y6" s="4">
        <f>RANK(X6,X$6:X$18,1)</f>
        <v>6</v>
      </c>
    </row>
    <row r="7" spans="1:25" ht="15" thickBot="1" x14ac:dyDescent="0.35">
      <c r="A7" s="3" t="s">
        <v>8</v>
      </c>
      <c r="B7" s="6">
        <v>335.13939999999997</v>
      </c>
      <c r="C7" s="6">
        <v>331.78430000000014</v>
      </c>
      <c r="D7" s="6">
        <v>341.83720000000011</v>
      </c>
      <c r="E7" s="6">
        <v>365.01239999999996</v>
      </c>
      <c r="F7" s="6">
        <v>337.1504000000001</v>
      </c>
      <c r="G7" s="6">
        <v>325.81420000000014</v>
      </c>
      <c r="H7" s="6">
        <v>387.01619999999986</v>
      </c>
      <c r="I7" s="6">
        <v>426.66370000000018</v>
      </c>
      <c r="J7" s="6">
        <v>359.80119999999994</v>
      </c>
      <c r="K7" s="6">
        <v>1137.0633999999998</v>
      </c>
      <c r="M7" s="3" t="s">
        <v>8</v>
      </c>
      <c r="N7" s="4">
        <f t="shared" ref="N7:N18" si="1">RANK(B7,B$6:B$18,1)</f>
        <v>10</v>
      </c>
      <c r="O7" s="4">
        <f t="shared" si="0"/>
        <v>1</v>
      </c>
      <c r="P7" s="4">
        <f t="shared" si="0"/>
        <v>2</v>
      </c>
      <c r="Q7" s="4">
        <f t="shared" si="0"/>
        <v>11</v>
      </c>
      <c r="R7" s="4">
        <f t="shared" si="0"/>
        <v>10</v>
      </c>
      <c r="S7" s="4">
        <f t="shared" si="0"/>
        <v>8</v>
      </c>
      <c r="T7" s="4">
        <f t="shared" si="0"/>
        <v>10</v>
      </c>
      <c r="U7" s="4">
        <f t="shared" si="0"/>
        <v>10</v>
      </c>
      <c r="V7" s="4">
        <f t="shared" si="0"/>
        <v>10</v>
      </c>
      <c r="W7" s="4">
        <f t="shared" si="0"/>
        <v>4</v>
      </c>
      <c r="X7" s="6">
        <f t="shared" ref="X7:X18" si="2">AVERAGE(N7:W7)</f>
        <v>7.6</v>
      </c>
      <c r="Y7" s="4">
        <f t="shared" ref="Y7:Y18" si="3">RANK(X7,X$6:X$18,1)</f>
        <v>10</v>
      </c>
    </row>
    <row r="8" spans="1:25" ht="15" thickBot="1" x14ac:dyDescent="0.35">
      <c r="A8" s="3" t="s">
        <v>9</v>
      </c>
      <c r="B8" s="6">
        <v>178.3965</v>
      </c>
      <c r="C8" s="6">
        <v>996.25399999999979</v>
      </c>
      <c r="D8" s="6">
        <v>742.62340000000006</v>
      </c>
      <c r="E8" s="6">
        <v>209.62970000000001</v>
      </c>
      <c r="F8" s="6">
        <v>142.12699999999998</v>
      </c>
      <c r="G8" s="6">
        <v>179.97089999999997</v>
      </c>
      <c r="H8" s="6">
        <v>253.46949999999993</v>
      </c>
      <c r="I8" s="6">
        <v>352.01369999999997</v>
      </c>
      <c r="J8" s="6">
        <v>202.75149999999996</v>
      </c>
      <c r="K8" s="6">
        <v>2135.8552999999997</v>
      </c>
      <c r="M8" s="3" t="s">
        <v>9</v>
      </c>
      <c r="N8" s="4">
        <f t="shared" si="1"/>
        <v>1</v>
      </c>
      <c r="O8" s="4">
        <f t="shared" si="0"/>
        <v>13</v>
      </c>
      <c r="P8" s="4">
        <f t="shared" si="0"/>
        <v>12</v>
      </c>
      <c r="Q8" s="4">
        <f t="shared" si="0"/>
        <v>1</v>
      </c>
      <c r="R8" s="4">
        <f t="shared" si="0"/>
        <v>1</v>
      </c>
      <c r="S8" s="4">
        <f t="shared" si="0"/>
        <v>1</v>
      </c>
      <c r="T8" s="4">
        <f t="shared" si="0"/>
        <v>1</v>
      </c>
      <c r="U8" s="4">
        <f t="shared" si="0"/>
        <v>5</v>
      </c>
      <c r="V8" s="4">
        <f t="shared" si="0"/>
        <v>1</v>
      </c>
      <c r="W8" s="4">
        <f t="shared" si="0"/>
        <v>12</v>
      </c>
      <c r="X8" s="6">
        <f t="shared" si="2"/>
        <v>4.8</v>
      </c>
      <c r="Y8" s="4">
        <f t="shared" si="3"/>
        <v>2</v>
      </c>
    </row>
    <row r="9" spans="1:25" ht="15" thickBot="1" x14ac:dyDescent="0.35">
      <c r="A9" s="3" t="s">
        <v>10</v>
      </c>
      <c r="B9" s="6">
        <v>214.03180000000003</v>
      </c>
      <c r="C9" s="6">
        <v>870.6786000000003</v>
      </c>
      <c r="D9" s="6">
        <v>733.08590000000038</v>
      </c>
      <c r="E9" s="6">
        <v>295.00439999999998</v>
      </c>
      <c r="F9" s="6">
        <v>245.72519999999997</v>
      </c>
      <c r="G9" s="6">
        <v>258.69980000000004</v>
      </c>
      <c r="H9" s="6">
        <v>346.67179999999973</v>
      </c>
      <c r="I9" s="6">
        <v>234.31140000000008</v>
      </c>
      <c r="J9" s="6">
        <v>271.77850000000001</v>
      </c>
      <c r="K9" s="6">
        <v>1365.8168999999998</v>
      </c>
      <c r="M9" s="3" t="s">
        <v>10</v>
      </c>
      <c r="N9" s="4">
        <f t="shared" si="1"/>
        <v>5</v>
      </c>
      <c r="O9" s="4">
        <f t="shared" si="0"/>
        <v>10</v>
      </c>
      <c r="P9" s="4">
        <f t="shared" si="0"/>
        <v>11</v>
      </c>
      <c r="Q9" s="4">
        <f t="shared" si="0"/>
        <v>7</v>
      </c>
      <c r="R9" s="4">
        <f t="shared" si="0"/>
        <v>6</v>
      </c>
      <c r="S9" s="4">
        <f t="shared" si="0"/>
        <v>6</v>
      </c>
      <c r="T9" s="4">
        <f t="shared" si="0"/>
        <v>9</v>
      </c>
      <c r="U9" s="4">
        <f t="shared" si="0"/>
        <v>3</v>
      </c>
      <c r="V9" s="4">
        <f t="shared" si="0"/>
        <v>8</v>
      </c>
      <c r="W9" s="4">
        <f t="shared" si="0"/>
        <v>7</v>
      </c>
      <c r="X9" s="6">
        <f t="shared" si="2"/>
        <v>7.2</v>
      </c>
      <c r="Y9" s="4">
        <f t="shared" si="3"/>
        <v>9</v>
      </c>
    </row>
    <row r="10" spans="1:25" ht="15" thickBot="1" x14ac:dyDescent="0.35">
      <c r="A10" s="3" t="s">
        <v>11</v>
      </c>
      <c r="B10" s="6">
        <v>209.76329999999987</v>
      </c>
      <c r="C10" s="6">
        <v>821.95320000000038</v>
      </c>
      <c r="D10" s="6">
        <v>717.24099999999987</v>
      </c>
      <c r="E10" s="6">
        <v>269.53959999999995</v>
      </c>
      <c r="F10" s="6">
        <v>221.79409999999996</v>
      </c>
      <c r="G10" s="6">
        <v>234.56130000000002</v>
      </c>
      <c r="H10" s="6">
        <v>308.64049999999986</v>
      </c>
      <c r="I10" s="6">
        <v>208.11509999999996</v>
      </c>
      <c r="J10" s="6">
        <v>246.07850000000002</v>
      </c>
      <c r="K10" s="6">
        <v>1297.4249000000004</v>
      </c>
      <c r="M10" s="3" t="s">
        <v>11</v>
      </c>
      <c r="N10" s="4">
        <f t="shared" si="1"/>
        <v>2</v>
      </c>
      <c r="O10" s="4">
        <f t="shared" si="0"/>
        <v>8</v>
      </c>
      <c r="P10" s="4">
        <f t="shared" si="0"/>
        <v>8</v>
      </c>
      <c r="Q10" s="4">
        <f t="shared" si="0"/>
        <v>4</v>
      </c>
      <c r="R10" s="4">
        <f t="shared" si="0"/>
        <v>3</v>
      </c>
      <c r="S10" s="4">
        <f t="shared" si="0"/>
        <v>4</v>
      </c>
      <c r="T10" s="4">
        <f t="shared" si="0"/>
        <v>6</v>
      </c>
      <c r="U10" s="4">
        <f t="shared" si="0"/>
        <v>1</v>
      </c>
      <c r="V10" s="4">
        <f t="shared" si="0"/>
        <v>4</v>
      </c>
      <c r="W10" s="4">
        <f t="shared" si="0"/>
        <v>5</v>
      </c>
      <c r="X10" s="6">
        <f t="shared" si="2"/>
        <v>4.5</v>
      </c>
      <c r="Y10" s="4">
        <f t="shared" si="3"/>
        <v>1</v>
      </c>
    </row>
    <row r="11" spans="1:25" ht="15" thickBot="1" x14ac:dyDescent="0.35">
      <c r="A11" s="3" t="s">
        <v>12</v>
      </c>
      <c r="B11" s="6">
        <v>212.19249999999988</v>
      </c>
      <c r="C11" s="6">
        <v>840.02879999999993</v>
      </c>
      <c r="D11" s="6">
        <v>717.67869999999982</v>
      </c>
      <c r="E11" s="6">
        <v>280.09160000000008</v>
      </c>
      <c r="F11" s="6">
        <v>242.57700000000008</v>
      </c>
      <c r="G11" s="6">
        <v>244.92369999999994</v>
      </c>
      <c r="H11" s="6">
        <v>277.40890000000013</v>
      </c>
      <c r="I11" s="6">
        <v>261.35570000000001</v>
      </c>
      <c r="J11" s="6">
        <v>247.62169999999992</v>
      </c>
      <c r="K11" s="6">
        <v>1357.1642999999999</v>
      </c>
      <c r="M11" s="3" t="s">
        <v>12</v>
      </c>
      <c r="N11" s="4">
        <f t="shared" si="1"/>
        <v>3</v>
      </c>
      <c r="O11" s="4">
        <f t="shared" si="0"/>
        <v>9</v>
      </c>
      <c r="P11" s="4">
        <f t="shared" si="0"/>
        <v>9</v>
      </c>
      <c r="Q11" s="4">
        <f t="shared" si="0"/>
        <v>5</v>
      </c>
      <c r="R11" s="4">
        <f t="shared" si="0"/>
        <v>5</v>
      </c>
      <c r="S11" s="4">
        <f t="shared" si="0"/>
        <v>5</v>
      </c>
      <c r="T11" s="4">
        <f t="shared" si="0"/>
        <v>4</v>
      </c>
      <c r="U11" s="4">
        <f t="shared" si="0"/>
        <v>4</v>
      </c>
      <c r="V11" s="4">
        <f t="shared" si="0"/>
        <v>6</v>
      </c>
      <c r="W11" s="4">
        <f t="shared" si="0"/>
        <v>6</v>
      </c>
      <c r="X11" s="6">
        <f t="shared" si="2"/>
        <v>5.6</v>
      </c>
      <c r="Y11" s="4">
        <f t="shared" si="3"/>
        <v>4</v>
      </c>
    </row>
    <row r="12" spans="1:25" ht="15" thickBot="1" x14ac:dyDescent="0.35">
      <c r="A12" s="3" t="s">
        <v>13</v>
      </c>
      <c r="B12" s="6">
        <v>213.82359999999994</v>
      </c>
      <c r="C12" s="6">
        <v>931.35099999999989</v>
      </c>
      <c r="D12" s="6">
        <v>732.13640000000009</v>
      </c>
      <c r="E12" s="6">
        <v>292.06859999999989</v>
      </c>
      <c r="F12" s="6">
        <v>234.13700000000011</v>
      </c>
      <c r="G12" s="6">
        <v>226.4275999999999</v>
      </c>
      <c r="H12" s="6">
        <v>265.83990000000011</v>
      </c>
      <c r="I12" s="6">
        <v>225.61500000000001</v>
      </c>
      <c r="J12" s="6">
        <v>246.14019999999999</v>
      </c>
      <c r="K12" s="6">
        <v>1480.0809000000006</v>
      </c>
      <c r="M12" s="3" t="s">
        <v>13</v>
      </c>
      <c r="N12" s="4">
        <f t="shared" si="1"/>
        <v>4</v>
      </c>
      <c r="O12" s="4">
        <f t="shared" si="0"/>
        <v>12</v>
      </c>
      <c r="P12" s="4">
        <f t="shared" si="0"/>
        <v>10</v>
      </c>
      <c r="Q12" s="4">
        <f t="shared" si="0"/>
        <v>6</v>
      </c>
      <c r="R12" s="4">
        <f t="shared" si="0"/>
        <v>4</v>
      </c>
      <c r="S12" s="4">
        <f t="shared" si="0"/>
        <v>3</v>
      </c>
      <c r="T12" s="4">
        <f t="shared" si="0"/>
        <v>2</v>
      </c>
      <c r="U12" s="4">
        <f t="shared" si="0"/>
        <v>2</v>
      </c>
      <c r="V12" s="4">
        <f t="shared" si="0"/>
        <v>5</v>
      </c>
      <c r="W12" s="4">
        <f t="shared" si="0"/>
        <v>9</v>
      </c>
      <c r="X12" s="6">
        <f t="shared" si="2"/>
        <v>5.7</v>
      </c>
      <c r="Y12" s="4">
        <f t="shared" si="3"/>
        <v>5</v>
      </c>
    </row>
    <row r="13" spans="1:25" ht="15" thickBot="1" x14ac:dyDescent="0.35">
      <c r="A13" s="3" t="s">
        <v>14</v>
      </c>
      <c r="B13" s="6">
        <v>335.7059999999999</v>
      </c>
      <c r="C13" s="6">
        <v>387.80880000000002</v>
      </c>
      <c r="D13" s="6">
        <v>379.75420000000008</v>
      </c>
      <c r="E13" s="6">
        <v>349.36810000000003</v>
      </c>
      <c r="F13" s="6">
        <v>340.44440000000009</v>
      </c>
      <c r="G13" s="6">
        <v>349.80759999999987</v>
      </c>
      <c r="H13" s="6">
        <v>401.89000000000016</v>
      </c>
      <c r="I13" s="6">
        <v>452.79089999999997</v>
      </c>
      <c r="J13" s="6">
        <v>467.22299999999996</v>
      </c>
      <c r="K13" s="6" t="s">
        <v>48</v>
      </c>
      <c r="M13" s="3" t="s">
        <v>14</v>
      </c>
      <c r="N13" s="4">
        <f t="shared" si="1"/>
        <v>11</v>
      </c>
      <c r="O13" s="4">
        <f t="shared" si="0"/>
        <v>3</v>
      </c>
      <c r="P13" s="4">
        <f t="shared" si="0"/>
        <v>3</v>
      </c>
      <c r="Q13" s="4">
        <f t="shared" si="0"/>
        <v>10</v>
      </c>
      <c r="R13" s="4">
        <f t="shared" si="0"/>
        <v>11</v>
      </c>
      <c r="S13" s="4">
        <f t="shared" si="0"/>
        <v>9</v>
      </c>
      <c r="T13" s="4">
        <f t="shared" si="0"/>
        <v>11</v>
      </c>
      <c r="U13" s="4">
        <f t="shared" si="0"/>
        <v>11</v>
      </c>
      <c r="V13" s="4">
        <f t="shared" si="0"/>
        <v>12</v>
      </c>
      <c r="W13" s="4"/>
      <c r="X13" s="6">
        <f t="shared" si="2"/>
        <v>9</v>
      </c>
      <c r="Y13" s="4">
        <f t="shared" si="3"/>
        <v>11</v>
      </c>
    </row>
    <row r="14" spans="1:25" ht="15" thickBot="1" x14ac:dyDescent="0.35">
      <c r="A14" s="3" t="s">
        <v>15</v>
      </c>
      <c r="B14" s="6">
        <v>549.67730000000006</v>
      </c>
      <c r="C14" s="6">
        <v>687.32969999999989</v>
      </c>
      <c r="D14" s="6">
        <v>606.63620000000003</v>
      </c>
      <c r="E14" s="6">
        <v>556.20179999999982</v>
      </c>
      <c r="F14" s="6">
        <v>527.22660000000019</v>
      </c>
      <c r="G14" s="6">
        <v>552.59309999999994</v>
      </c>
      <c r="H14" s="6">
        <v>627.99290000000008</v>
      </c>
      <c r="I14" s="6">
        <v>771.83620000000019</v>
      </c>
      <c r="J14" s="6">
        <v>511.36009999999987</v>
      </c>
      <c r="K14" s="6">
        <v>1742.1898000000003</v>
      </c>
      <c r="M14" s="3" t="s">
        <v>15</v>
      </c>
      <c r="N14" s="4">
        <f t="shared" si="1"/>
        <v>13</v>
      </c>
      <c r="O14" s="4">
        <f t="shared" si="0"/>
        <v>7</v>
      </c>
      <c r="P14" s="4">
        <f t="shared" si="0"/>
        <v>7</v>
      </c>
      <c r="Q14" s="4">
        <f t="shared" si="0"/>
        <v>13</v>
      </c>
      <c r="R14" s="4">
        <f t="shared" si="0"/>
        <v>13</v>
      </c>
      <c r="S14" s="4">
        <f t="shared" si="0"/>
        <v>13</v>
      </c>
      <c r="T14" s="4">
        <f t="shared" si="0"/>
        <v>13</v>
      </c>
      <c r="U14" s="4">
        <f t="shared" si="0"/>
        <v>13</v>
      </c>
      <c r="V14" s="4">
        <f t="shared" si="0"/>
        <v>13</v>
      </c>
      <c r="W14" s="4">
        <f t="shared" si="0"/>
        <v>11</v>
      </c>
      <c r="X14" s="6">
        <f t="shared" si="2"/>
        <v>11.6</v>
      </c>
      <c r="Y14" s="4">
        <f t="shared" si="3"/>
        <v>13</v>
      </c>
    </row>
    <row r="15" spans="1:25" ht="15" thickBot="1" x14ac:dyDescent="0.35">
      <c r="A15" s="3" t="s">
        <v>16</v>
      </c>
      <c r="B15" s="6">
        <v>272.06050000000005</v>
      </c>
      <c r="C15" s="6">
        <v>533.5571000000001</v>
      </c>
      <c r="D15" s="6">
        <v>430.1280000000001</v>
      </c>
      <c r="E15" s="6">
        <v>265.59989999999993</v>
      </c>
      <c r="F15" s="6">
        <v>259.49299999999999</v>
      </c>
      <c r="G15" s="6">
        <v>411.36150000000004</v>
      </c>
      <c r="H15" s="6">
        <v>296.90170000000001</v>
      </c>
      <c r="I15" s="6">
        <v>424.36939999999993</v>
      </c>
      <c r="J15" s="6">
        <v>238.77289999999996</v>
      </c>
      <c r="K15" s="6">
        <v>969.86310000000003</v>
      </c>
      <c r="M15" s="3" t="s">
        <v>16</v>
      </c>
      <c r="N15" s="4">
        <f t="shared" si="1"/>
        <v>8</v>
      </c>
      <c r="O15" s="4">
        <f t="shared" si="0"/>
        <v>4</v>
      </c>
      <c r="P15" s="4">
        <f t="shared" si="0"/>
        <v>4</v>
      </c>
      <c r="Q15" s="4">
        <f t="shared" si="0"/>
        <v>3</v>
      </c>
      <c r="R15" s="4">
        <f t="shared" si="0"/>
        <v>7</v>
      </c>
      <c r="S15" s="4">
        <f t="shared" si="0"/>
        <v>10</v>
      </c>
      <c r="T15" s="4">
        <f t="shared" si="0"/>
        <v>5</v>
      </c>
      <c r="U15" s="4">
        <f t="shared" si="0"/>
        <v>9</v>
      </c>
      <c r="V15" s="4">
        <f t="shared" si="0"/>
        <v>3</v>
      </c>
      <c r="W15" s="4">
        <f t="shared" si="0"/>
        <v>2</v>
      </c>
      <c r="X15" s="6">
        <f t="shared" si="2"/>
        <v>5.5</v>
      </c>
      <c r="Y15" s="4">
        <f t="shared" si="3"/>
        <v>3</v>
      </c>
    </row>
    <row r="16" spans="1:25" ht="15" thickBot="1" x14ac:dyDescent="0.35">
      <c r="A16" s="3" t="s">
        <v>17</v>
      </c>
      <c r="B16" s="6">
        <v>227.99759999999998</v>
      </c>
      <c r="C16" s="6">
        <v>656.3737000000001</v>
      </c>
      <c r="D16" s="6">
        <v>501.14480000000009</v>
      </c>
      <c r="E16" s="6">
        <v>258.81649999999996</v>
      </c>
      <c r="F16" s="6">
        <v>259.49299999999999</v>
      </c>
      <c r="G16" s="6">
        <v>411.36150000000004</v>
      </c>
      <c r="H16" s="6">
        <v>319.08449999999999</v>
      </c>
      <c r="I16" s="6">
        <v>383.06180000000001</v>
      </c>
      <c r="J16" s="6">
        <v>251.82539999999997</v>
      </c>
      <c r="K16" s="6">
        <v>1064.4614999999997</v>
      </c>
      <c r="M16" s="3" t="s">
        <v>17</v>
      </c>
      <c r="N16" s="4">
        <f t="shared" si="1"/>
        <v>6</v>
      </c>
      <c r="O16" s="4">
        <f t="shared" si="0"/>
        <v>6</v>
      </c>
      <c r="P16" s="4">
        <f t="shared" si="0"/>
        <v>6</v>
      </c>
      <c r="Q16" s="4">
        <f t="shared" si="0"/>
        <v>2</v>
      </c>
      <c r="R16" s="4">
        <f t="shared" si="0"/>
        <v>7</v>
      </c>
      <c r="S16" s="4">
        <f t="shared" si="0"/>
        <v>10</v>
      </c>
      <c r="T16" s="4">
        <f t="shared" si="0"/>
        <v>7</v>
      </c>
      <c r="U16" s="4">
        <f t="shared" si="0"/>
        <v>8</v>
      </c>
      <c r="V16" s="4">
        <f t="shared" si="0"/>
        <v>7</v>
      </c>
      <c r="W16" s="4">
        <f t="shared" si="0"/>
        <v>3</v>
      </c>
      <c r="X16" s="6">
        <f t="shared" si="2"/>
        <v>6.2</v>
      </c>
      <c r="Y16" s="4">
        <f t="shared" si="3"/>
        <v>7</v>
      </c>
    </row>
    <row r="17" spans="1:25" ht="15" thickBot="1" x14ac:dyDescent="0.35">
      <c r="A17" s="3" t="s">
        <v>18</v>
      </c>
      <c r="B17" s="6">
        <v>268.15490000000005</v>
      </c>
      <c r="C17" s="6">
        <v>870.6818999999997</v>
      </c>
      <c r="D17" s="6">
        <v>751.58519999999942</v>
      </c>
      <c r="E17" s="6">
        <v>306.16340000000002</v>
      </c>
      <c r="F17" s="6">
        <v>215.66</v>
      </c>
      <c r="G17" s="6">
        <v>225.0753</v>
      </c>
      <c r="H17" s="6">
        <v>273.27109999999999</v>
      </c>
      <c r="I17" s="6">
        <v>369.67749999999995</v>
      </c>
      <c r="J17" s="6">
        <v>224.02289999999996</v>
      </c>
      <c r="K17" s="6">
        <v>1515.1320000000001</v>
      </c>
      <c r="M17" s="3" t="s">
        <v>18</v>
      </c>
      <c r="N17" s="4">
        <f t="shared" si="1"/>
        <v>7</v>
      </c>
      <c r="O17" s="4">
        <f t="shared" si="0"/>
        <v>11</v>
      </c>
      <c r="P17" s="4">
        <f t="shared" si="0"/>
        <v>13</v>
      </c>
      <c r="Q17" s="4">
        <f t="shared" si="0"/>
        <v>9</v>
      </c>
      <c r="R17" s="4">
        <f t="shared" si="0"/>
        <v>2</v>
      </c>
      <c r="S17" s="4">
        <f t="shared" si="0"/>
        <v>2</v>
      </c>
      <c r="T17" s="4">
        <f t="shared" si="0"/>
        <v>3</v>
      </c>
      <c r="U17" s="4">
        <f t="shared" si="0"/>
        <v>6</v>
      </c>
      <c r="V17" s="4">
        <f t="shared" si="0"/>
        <v>2</v>
      </c>
      <c r="W17" s="4">
        <f t="shared" si="0"/>
        <v>10</v>
      </c>
      <c r="X17" s="6">
        <f t="shared" si="2"/>
        <v>6.5</v>
      </c>
      <c r="Y17" s="4">
        <f t="shared" si="3"/>
        <v>8</v>
      </c>
    </row>
    <row r="18" spans="1:25" ht="15" thickBot="1" x14ac:dyDescent="0.35">
      <c r="A18" s="3" t="s">
        <v>19</v>
      </c>
      <c r="B18" s="6">
        <v>505.1905999999999</v>
      </c>
      <c r="C18" s="6">
        <v>564.81729999999993</v>
      </c>
      <c r="D18" s="6">
        <v>482.45379999999989</v>
      </c>
      <c r="E18" s="6">
        <v>418.43650000000002</v>
      </c>
      <c r="F18" s="6">
        <v>418.24369999999993</v>
      </c>
      <c r="G18" s="6">
        <v>424.66590000000002</v>
      </c>
      <c r="H18" s="6">
        <v>504.88750000000016</v>
      </c>
      <c r="I18" s="6">
        <v>624.06490000000019</v>
      </c>
      <c r="J18" s="6">
        <v>409.32889999999998</v>
      </c>
      <c r="K18" s="6">
        <v>1369.0214000000008</v>
      </c>
      <c r="M18" s="3" t="s">
        <v>19</v>
      </c>
      <c r="N18" s="4">
        <f t="shared" si="1"/>
        <v>12</v>
      </c>
      <c r="O18" s="4">
        <f t="shared" si="0"/>
        <v>5</v>
      </c>
      <c r="P18" s="4">
        <f t="shared" si="0"/>
        <v>5</v>
      </c>
      <c r="Q18" s="4">
        <f t="shared" si="0"/>
        <v>12</v>
      </c>
      <c r="R18" s="4">
        <f t="shared" si="0"/>
        <v>12</v>
      </c>
      <c r="S18" s="4">
        <f t="shared" si="0"/>
        <v>12</v>
      </c>
      <c r="T18" s="4">
        <f t="shared" si="0"/>
        <v>12</v>
      </c>
      <c r="U18" s="4">
        <f t="shared" si="0"/>
        <v>12</v>
      </c>
      <c r="V18" s="4">
        <f t="shared" si="0"/>
        <v>11</v>
      </c>
      <c r="W18" s="4">
        <f t="shared" si="0"/>
        <v>8</v>
      </c>
      <c r="X18" s="6">
        <f t="shared" si="2"/>
        <v>10.1</v>
      </c>
      <c r="Y18" s="4">
        <f t="shared" si="3"/>
        <v>12</v>
      </c>
    </row>
  </sheetData>
  <mergeCells count="2">
    <mergeCell ref="A1:K1"/>
    <mergeCell ref="M1:Y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D48D4-BEF9-4D59-8EED-3BAFB0A738F6}">
  <dimension ref="A1:Y18"/>
  <sheetViews>
    <sheetView zoomScale="70" zoomScaleNormal="70" workbookViewId="0">
      <selection activeCell="Y3" sqref="Y3:Y5"/>
    </sheetView>
  </sheetViews>
  <sheetFormatPr defaultRowHeight="14.4" x14ac:dyDescent="0.3"/>
  <cols>
    <col min="1" max="1" width="15.44140625" customWidth="1"/>
    <col min="2" max="2" width="15.109375" customWidth="1"/>
    <col min="3" max="3" width="9.6640625" customWidth="1"/>
    <col min="4" max="4" width="10.33203125" customWidth="1"/>
    <col min="5" max="11" width="12.109375" customWidth="1"/>
    <col min="13" max="13" width="15.44140625" customWidth="1"/>
    <col min="14" max="14" width="15.109375" customWidth="1"/>
    <col min="15" max="15" width="9.6640625" customWidth="1"/>
    <col min="16" max="16" width="10.33203125" customWidth="1"/>
    <col min="17" max="17" width="9.5546875" customWidth="1"/>
    <col min="18" max="18" width="10.77734375" customWidth="1"/>
    <col min="19" max="19" width="11.88671875" customWidth="1"/>
  </cols>
  <sheetData>
    <row r="1" spans="1:25" ht="15" thickBot="1" x14ac:dyDescent="0.35">
      <c r="A1" s="17" t="s">
        <v>37</v>
      </c>
      <c r="B1" s="17"/>
      <c r="C1" s="17"/>
      <c r="D1" s="17"/>
      <c r="E1" s="17"/>
      <c r="F1" s="17"/>
      <c r="G1" s="17"/>
      <c r="H1" s="17"/>
      <c r="I1" s="17"/>
      <c r="J1" s="17"/>
      <c r="K1" s="17"/>
      <c r="M1" s="17" t="s">
        <v>24</v>
      </c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2" spans="1:25" ht="15" thickBot="1" x14ac:dyDescent="0.35">
      <c r="A2" s="1" t="s">
        <v>0</v>
      </c>
      <c r="B2" s="2" t="s">
        <v>38</v>
      </c>
      <c r="C2" s="2" t="s">
        <v>39</v>
      </c>
      <c r="D2" s="2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2" t="s">
        <v>45</v>
      </c>
      <c r="J2" s="2" t="s">
        <v>46</v>
      </c>
      <c r="K2" s="2" t="s">
        <v>47</v>
      </c>
      <c r="M2" s="1" t="s">
        <v>0</v>
      </c>
      <c r="N2" s="2" t="s">
        <v>38</v>
      </c>
      <c r="O2" s="2" t="s">
        <v>39</v>
      </c>
      <c r="P2" s="2" t="s">
        <v>40</v>
      </c>
      <c r="Q2" s="1" t="s">
        <v>41</v>
      </c>
      <c r="R2" s="1" t="s">
        <v>42</v>
      </c>
      <c r="S2" s="1" t="s">
        <v>43</v>
      </c>
      <c r="T2" s="1" t="s">
        <v>44</v>
      </c>
      <c r="U2" s="2" t="s">
        <v>45</v>
      </c>
      <c r="V2" s="2" t="s">
        <v>46</v>
      </c>
      <c r="W2" s="2" t="s">
        <v>47</v>
      </c>
      <c r="X2" s="2" t="s">
        <v>2</v>
      </c>
      <c r="Y2" s="2" t="s">
        <v>25</v>
      </c>
    </row>
    <row r="3" spans="1:25" ht="15" thickBot="1" x14ac:dyDescent="0.35">
      <c r="A3" s="3" t="s">
        <v>20</v>
      </c>
      <c r="B3" s="6"/>
      <c r="C3" s="6"/>
      <c r="D3" s="6"/>
      <c r="E3" s="6"/>
      <c r="F3" s="6"/>
      <c r="G3" s="6"/>
      <c r="H3" s="6"/>
      <c r="I3" s="6"/>
      <c r="J3" s="6"/>
      <c r="K3" s="6"/>
      <c r="M3" s="3" t="s">
        <v>20</v>
      </c>
      <c r="N3" s="4"/>
      <c r="O3" s="4"/>
      <c r="P3" s="4"/>
      <c r="Q3" s="4"/>
      <c r="R3" s="6"/>
      <c r="S3" s="4"/>
      <c r="T3" s="6"/>
      <c r="U3" s="4"/>
      <c r="V3" s="6"/>
      <c r="W3" s="4"/>
      <c r="X3" s="6"/>
      <c r="Y3" s="4">
        <v>16</v>
      </c>
    </row>
    <row r="4" spans="1:25" ht="15" thickBot="1" x14ac:dyDescent="0.35">
      <c r="A4" s="3" t="s">
        <v>21</v>
      </c>
      <c r="B4" s="6"/>
      <c r="C4" s="6"/>
      <c r="D4" s="6"/>
      <c r="E4" s="6"/>
      <c r="F4" s="6"/>
      <c r="G4" s="6"/>
      <c r="H4" s="6"/>
      <c r="I4" s="6"/>
      <c r="J4" s="6"/>
      <c r="K4" s="6"/>
      <c r="M4" s="3" t="s">
        <v>21</v>
      </c>
      <c r="N4" s="4"/>
      <c r="O4" s="4"/>
      <c r="P4" s="4"/>
      <c r="Q4" s="4"/>
      <c r="R4" s="6"/>
      <c r="S4" s="4"/>
      <c r="T4" s="6"/>
      <c r="U4" s="4"/>
      <c r="V4" s="6"/>
      <c r="W4" s="4"/>
      <c r="X4" s="6"/>
      <c r="Y4" s="4">
        <v>16</v>
      </c>
    </row>
    <row r="5" spans="1:25" ht="15" thickBot="1" x14ac:dyDescent="0.35">
      <c r="A5" s="3" t="s">
        <v>22</v>
      </c>
      <c r="B5" s="6"/>
      <c r="C5" s="6"/>
      <c r="D5" s="6"/>
      <c r="E5" s="6"/>
      <c r="F5" s="6"/>
      <c r="G5" s="6"/>
      <c r="H5" s="6"/>
      <c r="I5" s="6"/>
      <c r="J5" s="6"/>
      <c r="K5" s="6"/>
      <c r="M5" s="3" t="s">
        <v>22</v>
      </c>
      <c r="N5" s="4"/>
      <c r="O5" s="4"/>
      <c r="P5" s="4"/>
      <c r="Q5" s="4"/>
      <c r="R5" s="6"/>
      <c r="S5" s="4"/>
      <c r="T5" s="6"/>
      <c r="U5" s="4"/>
      <c r="V5" s="6"/>
      <c r="W5" s="4"/>
      <c r="X5" s="6"/>
      <c r="Y5" s="4">
        <v>16</v>
      </c>
    </row>
    <row r="6" spans="1:25" ht="15" thickBot="1" x14ac:dyDescent="0.35">
      <c r="A6" s="3" t="s">
        <v>7</v>
      </c>
      <c r="B6" s="6">
        <v>18.267607169716303</v>
      </c>
      <c r="C6" s="6">
        <v>102.83164863980204</v>
      </c>
      <c r="D6" s="6">
        <v>29.971289860784974</v>
      </c>
      <c r="E6" s="6">
        <v>43.273395670883758</v>
      </c>
      <c r="F6" s="6">
        <v>56.95736472621995</v>
      </c>
      <c r="G6" s="6">
        <v>25.717769919774632</v>
      </c>
      <c r="H6" s="6">
        <v>115.60894187988129</v>
      </c>
      <c r="I6" s="6">
        <v>71.606874325702904</v>
      </c>
      <c r="J6" s="6">
        <v>12.912887999001128</v>
      </c>
      <c r="K6" s="6">
        <v>25.508891113658478</v>
      </c>
      <c r="M6" s="3" t="s">
        <v>7</v>
      </c>
      <c r="N6" s="4">
        <f>RANK(B6,B$6:B$18,1)</f>
        <v>2</v>
      </c>
      <c r="O6" s="4">
        <f t="shared" ref="O6:W18" si="0">RANK(C6,C$6:C$18,1)</f>
        <v>6</v>
      </c>
      <c r="P6" s="4">
        <f t="shared" si="0"/>
        <v>5</v>
      </c>
      <c r="Q6" s="4">
        <f t="shared" si="0"/>
        <v>6</v>
      </c>
      <c r="R6" s="4">
        <f t="shared" si="0"/>
        <v>8</v>
      </c>
      <c r="S6" s="4">
        <f t="shared" si="0"/>
        <v>2</v>
      </c>
      <c r="T6" s="4">
        <f t="shared" si="0"/>
        <v>10</v>
      </c>
      <c r="U6" s="4">
        <f t="shared" si="0"/>
        <v>6</v>
      </c>
      <c r="V6" s="4">
        <f t="shared" si="0"/>
        <v>1</v>
      </c>
      <c r="W6" s="4">
        <f t="shared" si="0"/>
        <v>1</v>
      </c>
      <c r="X6" s="6">
        <f>AVERAGE(N6:W6)</f>
        <v>4.7</v>
      </c>
      <c r="Y6" s="4">
        <f>RANK(X6,X$6:X$18,1)</f>
        <v>1</v>
      </c>
    </row>
    <row r="7" spans="1:25" ht="15" thickBot="1" x14ac:dyDescent="0.35">
      <c r="A7" s="3" t="s">
        <v>8</v>
      </c>
      <c r="B7" s="6">
        <v>20.289597813518714</v>
      </c>
      <c r="C7" s="6">
        <v>35.37128040208313</v>
      </c>
      <c r="D7" s="6">
        <v>145.8131056384135</v>
      </c>
      <c r="E7" s="6">
        <v>48.852774413734288</v>
      </c>
      <c r="F7" s="6">
        <v>33.564951866162083</v>
      </c>
      <c r="G7" s="6">
        <v>45.727112046586925</v>
      </c>
      <c r="H7" s="6">
        <v>35.339936254965856</v>
      </c>
      <c r="I7" s="6">
        <v>20.968699263377772</v>
      </c>
      <c r="J7" s="6">
        <v>28.995877076480078</v>
      </c>
      <c r="K7" s="6">
        <v>644.96847841732585</v>
      </c>
      <c r="M7" s="3" t="s">
        <v>8</v>
      </c>
      <c r="N7" s="4">
        <f t="shared" ref="N7:N18" si="1">RANK(B7,B$6:B$18,1)</f>
        <v>4</v>
      </c>
      <c r="O7" s="4">
        <f t="shared" si="0"/>
        <v>2</v>
      </c>
      <c r="P7" s="4">
        <f t="shared" si="0"/>
        <v>13</v>
      </c>
      <c r="Q7" s="4">
        <f t="shared" si="0"/>
        <v>7</v>
      </c>
      <c r="R7" s="4">
        <f t="shared" si="0"/>
        <v>6</v>
      </c>
      <c r="S7" s="4">
        <f t="shared" si="0"/>
        <v>10</v>
      </c>
      <c r="T7" s="4">
        <f t="shared" si="0"/>
        <v>5</v>
      </c>
      <c r="U7" s="4">
        <f t="shared" si="0"/>
        <v>2</v>
      </c>
      <c r="V7" s="4">
        <f t="shared" si="0"/>
        <v>7</v>
      </c>
      <c r="W7" s="4">
        <f t="shared" si="0"/>
        <v>11</v>
      </c>
      <c r="X7" s="6">
        <f t="shared" ref="X7:X18" si="2">AVERAGE(N7:W7)</f>
        <v>6.7</v>
      </c>
      <c r="Y7" s="4">
        <f t="shared" ref="Y7:Y18" si="3">RANK(X7,X$6:X$18,1)</f>
        <v>7</v>
      </c>
    </row>
    <row r="8" spans="1:25" ht="16.8" customHeight="1" thickBot="1" x14ac:dyDescent="0.35">
      <c r="A8" s="3" t="s">
        <v>9</v>
      </c>
      <c r="B8" s="6">
        <v>51.87125718516652</v>
      </c>
      <c r="C8" s="6">
        <v>45.1325570856661</v>
      </c>
      <c r="D8" s="6">
        <v>21.877533433440639</v>
      </c>
      <c r="E8" s="6">
        <v>27.98099656188019</v>
      </c>
      <c r="F8" s="6">
        <v>13.802365812432372</v>
      </c>
      <c r="G8" s="6">
        <v>34.372818486370676</v>
      </c>
      <c r="H8" s="6">
        <v>118.65114773715204</v>
      </c>
      <c r="I8" s="6">
        <v>47.385392832058535</v>
      </c>
      <c r="J8" s="6">
        <v>24.646546231909166</v>
      </c>
      <c r="K8" s="6">
        <v>2959.3656961877209</v>
      </c>
      <c r="M8" s="3" t="s">
        <v>9</v>
      </c>
      <c r="N8" s="4">
        <f t="shared" si="1"/>
        <v>10</v>
      </c>
      <c r="O8" s="4">
        <f t="shared" si="0"/>
        <v>3</v>
      </c>
      <c r="P8" s="4">
        <f t="shared" si="0"/>
        <v>3</v>
      </c>
      <c r="Q8" s="4">
        <f t="shared" si="0"/>
        <v>4</v>
      </c>
      <c r="R8" s="4">
        <f t="shared" si="0"/>
        <v>1</v>
      </c>
      <c r="S8" s="4">
        <f t="shared" si="0"/>
        <v>4</v>
      </c>
      <c r="T8" s="4">
        <f t="shared" si="0"/>
        <v>11</v>
      </c>
      <c r="U8" s="4">
        <f t="shared" si="0"/>
        <v>5</v>
      </c>
      <c r="V8" s="4">
        <f t="shared" si="0"/>
        <v>6</v>
      </c>
      <c r="W8" s="4">
        <f t="shared" si="0"/>
        <v>12</v>
      </c>
      <c r="X8" s="6">
        <f t="shared" si="2"/>
        <v>5.9</v>
      </c>
      <c r="Y8" s="4">
        <f t="shared" si="3"/>
        <v>6</v>
      </c>
    </row>
    <row r="9" spans="1:25" ht="15" thickBot="1" x14ac:dyDescent="0.35">
      <c r="A9" s="3" t="s">
        <v>10</v>
      </c>
      <c r="B9" s="6">
        <v>22.957308045301005</v>
      </c>
      <c r="C9" s="6">
        <v>156.08328328572441</v>
      </c>
      <c r="D9" s="6">
        <v>47.962464071270141</v>
      </c>
      <c r="E9" s="6">
        <v>62.197806131045915</v>
      </c>
      <c r="F9" s="6">
        <v>47.839920599745263</v>
      </c>
      <c r="G9" s="6">
        <v>60.517386164989176</v>
      </c>
      <c r="H9" s="6">
        <v>138.3773219755733</v>
      </c>
      <c r="I9" s="6">
        <v>118.78772125624971</v>
      </c>
      <c r="J9" s="6">
        <v>45.73149078307425</v>
      </c>
      <c r="K9" s="6">
        <v>256.44047191059485</v>
      </c>
      <c r="M9" s="3" t="s">
        <v>10</v>
      </c>
      <c r="N9" s="4">
        <f t="shared" si="1"/>
        <v>7</v>
      </c>
      <c r="O9" s="4">
        <f t="shared" si="0"/>
        <v>10</v>
      </c>
      <c r="P9" s="4">
        <f t="shared" si="0"/>
        <v>6</v>
      </c>
      <c r="Q9" s="4">
        <f t="shared" si="0"/>
        <v>10</v>
      </c>
      <c r="R9" s="4">
        <f t="shared" si="0"/>
        <v>7</v>
      </c>
      <c r="S9" s="4">
        <f t="shared" si="0"/>
        <v>12</v>
      </c>
      <c r="T9" s="4">
        <f t="shared" si="0"/>
        <v>12</v>
      </c>
      <c r="U9" s="4">
        <f t="shared" si="0"/>
        <v>8</v>
      </c>
      <c r="V9" s="4">
        <f t="shared" si="0"/>
        <v>8</v>
      </c>
      <c r="W9" s="4">
        <f t="shared" si="0"/>
        <v>6</v>
      </c>
      <c r="X9" s="6">
        <f t="shared" si="2"/>
        <v>8.6</v>
      </c>
      <c r="Y9" s="4">
        <f t="shared" si="3"/>
        <v>10</v>
      </c>
    </row>
    <row r="10" spans="1:25" ht="15" thickBot="1" x14ac:dyDescent="0.35">
      <c r="A10" s="3" t="s">
        <v>11</v>
      </c>
      <c r="B10" s="6">
        <v>22.220613964507262</v>
      </c>
      <c r="C10" s="6">
        <v>110.0976793384705</v>
      </c>
      <c r="D10" s="6">
        <v>19.515647982109535</v>
      </c>
      <c r="E10" s="6">
        <v>16.891217305469905</v>
      </c>
      <c r="F10" s="6">
        <v>18.184342532058515</v>
      </c>
      <c r="G10" s="6">
        <v>34.795680872542739</v>
      </c>
      <c r="H10" s="6">
        <v>141.1911807370748</v>
      </c>
      <c r="I10" s="6">
        <v>10.339053597057532</v>
      </c>
      <c r="J10" s="6">
        <v>14.395131217803392</v>
      </c>
      <c r="K10" s="6">
        <v>205.48750500239905</v>
      </c>
      <c r="M10" s="3" t="s">
        <v>11</v>
      </c>
      <c r="N10" s="4">
        <f t="shared" si="1"/>
        <v>6</v>
      </c>
      <c r="O10" s="4">
        <f t="shared" si="0"/>
        <v>8</v>
      </c>
      <c r="P10" s="4">
        <f t="shared" si="0"/>
        <v>2</v>
      </c>
      <c r="Q10" s="4">
        <f t="shared" si="0"/>
        <v>2</v>
      </c>
      <c r="R10" s="4">
        <f t="shared" si="0"/>
        <v>3</v>
      </c>
      <c r="S10" s="4">
        <f t="shared" si="0"/>
        <v>5</v>
      </c>
      <c r="T10" s="4">
        <f t="shared" si="0"/>
        <v>13</v>
      </c>
      <c r="U10" s="4">
        <f t="shared" si="0"/>
        <v>1</v>
      </c>
      <c r="V10" s="4">
        <f t="shared" si="0"/>
        <v>3</v>
      </c>
      <c r="W10" s="4">
        <f t="shared" si="0"/>
        <v>5</v>
      </c>
      <c r="X10" s="6">
        <f t="shared" si="2"/>
        <v>4.8</v>
      </c>
      <c r="Y10" s="4">
        <f t="shared" si="3"/>
        <v>3</v>
      </c>
    </row>
    <row r="11" spans="1:25" ht="15" thickBot="1" x14ac:dyDescent="0.35">
      <c r="A11" s="3" t="s">
        <v>12</v>
      </c>
      <c r="B11" s="6">
        <v>19.388202774320824</v>
      </c>
      <c r="C11" s="6">
        <v>53.493521693677231</v>
      </c>
      <c r="D11" s="6">
        <v>22.039257657437314</v>
      </c>
      <c r="E11" s="6">
        <v>37.06019718776345</v>
      </c>
      <c r="F11" s="6">
        <v>110.05426120369374</v>
      </c>
      <c r="G11" s="6">
        <v>30.462475696595888</v>
      </c>
      <c r="H11" s="6">
        <v>24.960458462467507</v>
      </c>
      <c r="I11" s="6">
        <v>75.112284476662225</v>
      </c>
      <c r="J11" s="6">
        <v>16.636837066758172</v>
      </c>
      <c r="K11" s="6">
        <v>330.380256460797</v>
      </c>
      <c r="M11" s="3" t="s">
        <v>12</v>
      </c>
      <c r="N11" s="4">
        <f t="shared" si="1"/>
        <v>3</v>
      </c>
      <c r="O11" s="4">
        <f t="shared" si="0"/>
        <v>4</v>
      </c>
      <c r="P11" s="4">
        <f t="shared" si="0"/>
        <v>4</v>
      </c>
      <c r="Q11" s="4">
        <f t="shared" si="0"/>
        <v>5</v>
      </c>
      <c r="R11" s="4">
        <f t="shared" si="0"/>
        <v>12</v>
      </c>
      <c r="S11" s="4">
        <f t="shared" si="0"/>
        <v>3</v>
      </c>
      <c r="T11" s="4">
        <f t="shared" si="0"/>
        <v>2</v>
      </c>
      <c r="U11" s="4">
        <f t="shared" si="0"/>
        <v>7</v>
      </c>
      <c r="V11" s="4">
        <f t="shared" si="0"/>
        <v>4</v>
      </c>
      <c r="W11" s="4">
        <f t="shared" si="0"/>
        <v>9</v>
      </c>
      <c r="X11" s="6">
        <f t="shared" si="2"/>
        <v>5.3</v>
      </c>
      <c r="Y11" s="4">
        <f t="shared" si="3"/>
        <v>5</v>
      </c>
    </row>
    <row r="12" spans="1:25" ht="15" thickBot="1" x14ac:dyDescent="0.35">
      <c r="A12" s="3" t="s">
        <v>13</v>
      </c>
      <c r="B12" s="6">
        <v>21.81855009672427</v>
      </c>
      <c r="C12" s="6">
        <v>20.068369982073126</v>
      </c>
      <c r="D12" s="6">
        <v>49.021151969781819</v>
      </c>
      <c r="E12" s="6">
        <v>144.98956388790245</v>
      </c>
      <c r="F12" s="6">
        <v>30.718771167157183</v>
      </c>
      <c r="G12" s="6">
        <v>15.373049559787306</v>
      </c>
      <c r="H12" s="6">
        <v>9.9943827147295501</v>
      </c>
      <c r="I12" s="6">
        <v>35.463099401940575</v>
      </c>
      <c r="J12" s="6">
        <v>13.99741072592724</v>
      </c>
      <c r="K12" s="6">
        <v>431.34770688920486</v>
      </c>
      <c r="M12" s="3" t="s">
        <v>13</v>
      </c>
      <c r="N12" s="4">
        <f t="shared" si="1"/>
        <v>5</v>
      </c>
      <c r="O12" s="4">
        <f t="shared" si="0"/>
        <v>1</v>
      </c>
      <c r="P12" s="4">
        <f t="shared" si="0"/>
        <v>7</v>
      </c>
      <c r="Q12" s="4">
        <f t="shared" si="0"/>
        <v>12</v>
      </c>
      <c r="R12" s="4">
        <f t="shared" si="0"/>
        <v>5</v>
      </c>
      <c r="S12" s="4">
        <f t="shared" si="0"/>
        <v>1</v>
      </c>
      <c r="T12" s="4">
        <f t="shared" si="0"/>
        <v>1</v>
      </c>
      <c r="U12" s="4">
        <f t="shared" si="0"/>
        <v>3</v>
      </c>
      <c r="V12" s="4">
        <f t="shared" si="0"/>
        <v>2</v>
      </c>
      <c r="W12" s="4">
        <f t="shared" si="0"/>
        <v>10</v>
      </c>
      <c r="X12" s="6">
        <f t="shared" si="2"/>
        <v>4.7</v>
      </c>
      <c r="Y12" s="4">
        <f t="shared" si="3"/>
        <v>1</v>
      </c>
    </row>
    <row r="13" spans="1:25" ht="15" thickBot="1" x14ac:dyDescent="0.35">
      <c r="A13" s="3" t="s">
        <v>14</v>
      </c>
      <c r="B13" s="6">
        <v>15.999300489759429</v>
      </c>
      <c r="C13" s="6">
        <v>108.79893640188698</v>
      </c>
      <c r="D13" s="6">
        <v>13.89015705418405</v>
      </c>
      <c r="E13" s="6">
        <v>16.755101662092979</v>
      </c>
      <c r="F13" s="6">
        <v>17.886588244556396</v>
      </c>
      <c r="G13" s="6">
        <v>36.627294153543225</v>
      </c>
      <c r="H13" s="6">
        <v>29.668156414757298</v>
      </c>
      <c r="I13" s="6">
        <v>145.92302829248888</v>
      </c>
      <c r="J13" s="6">
        <v>866.79399263008031</v>
      </c>
      <c r="K13" s="6"/>
      <c r="M13" s="3" t="s">
        <v>14</v>
      </c>
      <c r="N13" s="4">
        <f t="shared" si="1"/>
        <v>1</v>
      </c>
      <c r="O13" s="4">
        <f t="shared" si="0"/>
        <v>7</v>
      </c>
      <c r="P13" s="4">
        <f t="shared" si="0"/>
        <v>1</v>
      </c>
      <c r="Q13" s="4">
        <f t="shared" si="0"/>
        <v>1</v>
      </c>
      <c r="R13" s="4">
        <f t="shared" si="0"/>
        <v>2</v>
      </c>
      <c r="S13" s="4">
        <f t="shared" si="0"/>
        <v>7</v>
      </c>
      <c r="T13" s="4">
        <f t="shared" si="0"/>
        <v>3</v>
      </c>
      <c r="U13" s="4">
        <f t="shared" si="0"/>
        <v>10</v>
      </c>
      <c r="V13" s="4">
        <f t="shared" si="0"/>
        <v>13</v>
      </c>
      <c r="W13" s="4"/>
      <c r="X13" s="6">
        <f t="shared" si="2"/>
        <v>5</v>
      </c>
      <c r="Y13" s="4">
        <f t="shared" si="3"/>
        <v>4</v>
      </c>
    </row>
    <row r="14" spans="1:25" ht="15" thickBot="1" x14ac:dyDescent="0.35">
      <c r="A14" s="3" t="s">
        <v>15</v>
      </c>
      <c r="B14" s="6">
        <v>150.3529213997661</v>
      </c>
      <c r="C14" s="6">
        <v>158.87457011492467</v>
      </c>
      <c r="D14" s="6">
        <v>116.14177460171832</v>
      </c>
      <c r="E14" s="6">
        <v>24.473162764897634</v>
      </c>
      <c r="F14" s="6">
        <v>28.077385566366829</v>
      </c>
      <c r="G14" s="6">
        <v>35.56353141998985</v>
      </c>
      <c r="H14" s="6">
        <v>29.907789644238843</v>
      </c>
      <c r="I14" s="6">
        <v>195.53648565880874</v>
      </c>
      <c r="J14" s="6">
        <v>19.305960585563028</v>
      </c>
      <c r="K14" s="6">
        <v>86.996817902795271</v>
      </c>
      <c r="M14" s="3" t="s">
        <v>15</v>
      </c>
      <c r="N14" s="4">
        <f t="shared" si="1"/>
        <v>13</v>
      </c>
      <c r="O14" s="4">
        <f t="shared" si="0"/>
        <v>11</v>
      </c>
      <c r="P14" s="4">
        <f t="shared" si="0"/>
        <v>9</v>
      </c>
      <c r="Q14" s="4">
        <f t="shared" si="0"/>
        <v>3</v>
      </c>
      <c r="R14" s="4">
        <f t="shared" si="0"/>
        <v>4</v>
      </c>
      <c r="S14" s="4">
        <f t="shared" si="0"/>
        <v>6</v>
      </c>
      <c r="T14" s="4">
        <f t="shared" si="0"/>
        <v>4</v>
      </c>
      <c r="U14" s="4">
        <f t="shared" si="0"/>
        <v>13</v>
      </c>
      <c r="V14" s="4">
        <f t="shared" si="0"/>
        <v>5</v>
      </c>
      <c r="W14" s="4">
        <f t="shared" si="0"/>
        <v>2</v>
      </c>
      <c r="X14" s="6">
        <f t="shared" si="2"/>
        <v>7</v>
      </c>
      <c r="Y14" s="4">
        <f t="shared" si="3"/>
        <v>8</v>
      </c>
    </row>
    <row r="15" spans="1:25" ht="15" thickBot="1" x14ac:dyDescent="0.35">
      <c r="A15" s="3" t="s">
        <v>16</v>
      </c>
      <c r="B15" s="6">
        <v>49.763037931700993</v>
      </c>
      <c r="C15" s="6">
        <v>74.080021656832116</v>
      </c>
      <c r="D15" s="6">
        <v>65.132657001543578</v>
      </c>
      <c r="E15" s="6">
        <v>98.095733723426548</v>
      </c>
      <c r="F15" s="6">
        <v>95.727074577000892</v>
      </c>
      <c r="G15" s="6">
        <v>44.065289149490766</v>
      </c>
      <c r="H15" s="6">
        <v>68.123528975759072</v>
      </c>
      <c r="I15" s="6">
        <v>41.854480826942876</v>
      </c>
      <c r="J15" s="6">
        <v>61.819448090484769</v>
      </c>
      <c r="K15" s="6">
        <v>183.55460767129577</v>
      </c>
      <c r="M15" s="3" t="s">
        <v>16</v>
      </c>
      <c r="N15" s="4">
        <f t="shared" si="1"/>
        <v>9</v>
      </c>
      <c r="O15" s="4">
        <f t="shared" si="0"/>
        <v>5</v>
      </c>
      <c r="P15" s="4">
        <f t="shared" si="0"/>
        <v>8</v>
      </c>
      <c r="Q15" s="4">
        <f t="shared" si="0"/>
        <v>11</v>
      </c>
      <c r="R15" s="4">
        <f t="shared" si="0"/>
        <v>10</v>
      </c>
      <c r="S15" s="4">
        <f t="shared" si="0"/>
        <v>8</v>
      </c>
      <c r="T15" s="4">
        <f t="shared" si="0"/>
        <v>8</v>
      </c>
      <c r="U15" s="4">
        <f t="shared" si="0"/>
        <v>4</v>
      </c>
      <c r="V15" s="4">
        <f t="shared" si="0"/>
        <v>11</v>
      </c>
      <c r="W15" s="4">
        <f t="shared" si="0"/>
        <v>4</v>
      </c>
      <c r="X15" s="6">
        <f t="shared" si="2"/>
        <v>7.8</v>
      </c>
      <c r="Y15" s="4">
        <f t="shared" si="3"/>
        <v>9</v>
      </c>
    </row>
    <row r="16" spans="1:25" ht="15" thickBot="1" x14ac:dyDescent="0.35">
      <c r="A16" s="3" t="s">
        <v>17</v>
      </c>
      <c r="B16" s="6">
        <v>38.992022859901269</v>
      </c>
      <c r="C16" s="6">
        <v>247.35094326207116</v>
      </c>
      <c r="D16" s="6">
        <v>132.13214480919754</v>
      </c>
      <c r="E16" s="6">
        <v>51.669076177930734</v>
      </c>
      <c r="F16" s="6">
        <v>95.727074577000892</v>
      </c>
      <c r="G16" s="6">
        <v>44.065289149490766</v>
      </c>
      <c r="H16" s="6">
        <v>47.292223534299715</v>
      </c>
      <c r="I16" s="6">
        <v>139.74298275423544</v>
      </c>
      <c r="J16" s="6">
        <v>51.402384164727145</v>
      </c>
      <c r="K16" s="6">
        <v>300.67816738192391</v>
      </c>
      <c r="M16" s="3" t="s">
        <v>17</v>
      </c>
      <c r="N16" s="4">
        <f t="shared" si="1"/>
        <v>8</v>
      </c>
      <c r="O16" s="4">
        <f t="shared" si="0"/>
        <v>13</v>
      </c>
      <c r="P16" s="4">
        <f t="shared" si="0"/>
        <v>10</v>
      </c>
      <c r="Q16" s="4">
        <f t="shared" si="0"/>
        <v>8</v>
      </c>
      <c r="R16" s="4">
        <f t="shared" si="0"/>
        <v>10</v>
      </c>
      <c r="S16" s="4">
        <f t="shared" si="0"/>
        <v>8</v>
      </c>
      <c r="T16" s="4">
        <f t="shared" si="0"/>
        <v>6</v>
      </c>
      <c r="U16" s="4">
        <f t="shared" si="0"/>
        <v>9</v>
      </c>
      <c r="V16" s="4">
        <f t="shared" si="0"/>
        <v>10</v>
      </c>
      <c r="W16" s="4">
        <f t="shared" si="0"/>
        <v>8</v>
      </c>
      <c r="X16" s="6">
        <f t="shared" si="2"/>
        <v>9</v>
      </c>
      <c r="Y16" s="4">
        <f t="shared" si="3"/>
        <v>11</v>
      </c>
    </row>
    <row r="17" spans="1:25" ht="15" thickBot="1" x14ac:dyDescent="0.35">
      <c r="A17" s="3" t="s">
        <v>18</v>
      </c>
      <c r="B17" s="6">
        <v>89.280694662305478</v>
      </c>
      <c r="C17" s="6">
        <v>180.53244848768833</v>
      </c>
      <c r="D17" s="6">
        <v>141.01348781022625</v>
      </c>
      <c r="E17" s="6">
        <v>367.62875990533627</v>
      </c>
      <c r="F17" s="6">
        <v>63.567748397781216</v>
      </c>
      <c r="G17" s="6">
        <v>121.79040160928751</v>
      </c>
      <c r="H17" s="6">
        <v>67.176079299784419</v>
      </c>
      <c r="I17" s="6">
        <v>158.46311713987873</v>
      </c>
      <c r="J17" s="6">
        <v>87.870231434275681</v>
      </c>
      <c r="K17" s="6">
        <v>286.13634526006751</v>
      </c>
      <c r="M17" s="3" t="s">
        <v>18</v>
      </c>
      <c r="N17" s="4">
        <f t="shared" si="1"/>
        <v>11</v>
      </c>
      <c r="O17" s="4">
        <f t="shared" si="0"/>
        <v>12</v>
      </c>
      <c r="P17" s="4">
        <f t="shared" si="0"/>
        <v>12</v>
      </c>
      <c r="Q17" s="4">
        <f t="shared" si="0"/>
        <v>13</v>
      </c>
      <c r="R17" s="4">
        <f t="shared" si="0"/>
        <v>9</v>
      </c>
      <c r="S17" s="4">
        <f t="shared" si="0"/>
        <v>13</v>
      </c>
      <c r="T17" s="4">
        <f t="shared" si="0"/>
        <v>7</v>
      </c>
      <c r="U17" s="4">
        <f t="shared" si="0"/>
        <v>11</v>
      </c>
      <c r="V17" s="4">
        <f t="shared" si="0"/>
        <v>12</v>
      </c>
      <c r="W17" s="4">
        <f t="shared" si="0"/>
        <v>7</v>
      </c>
      <c r="X17" s="6">
        <f t="shared" si="2"/>
        <v>10.7</v>
      </c>
      <c r="Y17" s="4">
        <f t="shared" si="3"/>
        <v>13</v>
      </c>
    </row>
    <row r="18" spans="1:25" ht="15" thickBot="1" x14ac:dyDescent="0.35">
      <c r="A18" s="3" t="s">
        <v>19</v>
      </c>
      <c r="B18" s="6">
        <v>136.1127734735681</v>
      </c>
      <c r="C18" s="6">
        <v>111.86982452882958</v>
      </c>
      <c r="D18" s="6">
        <v>136.98192539311253</v>
      </c>
      <c r="E18" s="6">
        <v>60.976335389438049</v>
      </c>
      <c r="F18" s="6">
        <v>116.81429903007988</v>
      </c>
      <c r="G18" s="6">
        <v>52.492359407359999</v>
      </c>
      <c r="H18" s="6">
        <v>107.78992143226355</v>
      </c>
      <c r="I18" s="6">
        <v>165.08220431899377</v>
      </c>
      <c r="J18" s="6">
        <v>48.914888768373416</v>
      </c>
      <c r="K18" s="6">
        <v>153.47847357379842</v>
      </c>
      <c r="M18" s="3" t="s">
        <v>19</v>
      </c>
      <c r="N18" s="4">
        <f t="shared" si="1"/>
        <v>12</v>
      </c>
      <c r="O18" s="4">
        <f t="shared" si="0"/>
        <v>9</v>
      </c>
      <c r="P18" s="4">
        <f t="shared" si="0"/>
        <v>11</v>
      </c>
      <c r="Q18" s="4">
        <f t="shared" si="0"/>
        <v>9</v>
      </c>
      <c r="R18" s="4">
        <f t="shared" si="0"/>
        <v>13</v>
      </c>
      <c r="S18" s="4">
        <f t="shared" si="0"/>
        <v>11</v>
      </c>
      <c r="T18" s="4">
        <f t="shared" si="0"/>
        <v>9</v>
      </c>
      <c r="U18" s="4">
        <f t="shared" si="0"/>
        <v>12</v>
      </c>
      <c r="V18" s="4">
        <f t="shared" si="0"/>
        <v>9</v>
      </c>
      <c r="W18" s="4">
        <f t="shared" si="0"/>
        <v>3</v>
      </c>
      <c r="X18" s="6">
        <f t="shared" si="2"/>
        <v>9.8000000000000007</v>
      </c>
      <c r="Y18" s="4">
        <f t="shared" si="3"/>
        <v>12</v>
      </c>
    </row>
  </sheetData>
  <mergeCells count="2">
    <mergeCell ref="A1:K1"/>
    <mergeCell ref="M1:Y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3750E-E824-4FA4-B2B3-D13BACEE1E0A}">
  <dimension ref="A1:M18"/>
  <sheetViews>
    <sheetView zoomScale="85" zoomScaleNormal="85" workbookViewId="0">
      <selection activeCell="P16" sqref="P16"/>
    </sheetView>
  </sheetViews>
  <sheetFormatPr defaultRowHeight="14.4" x14ac:dyDescent="0.3"/>
  <cols>
    <col min="1" max="1" width="17.44140625" customWidth="1"/>
    <col min="2" max="2" width="16" customWidth="1"/>
    <col min="3" max="3" width="13.109375" customWidth="1"/>
    <col min="4" max="4" width="11.6640625" customWidth="1"/>
    <col min="5" max="5" width="14.6640625" customWidth="1"/>
    <col min="7" max="7" width="17.44140625" customWidth="1"/>
    <col min="8" max="8" width="13.88671875" customWidth="1"/>
    <col min="9" max="9" width="13.109375" customWidth="1"/>
    <col min="10" max="10" width="11.6640625" customWidth="1"/>
    <col min="11" max="11" width="14.6640625" customWidth="1"/>
  </cols>
  <sheetData>
    <row r="1" spans="1:13" ht="15" thickBot="1" x14ac:dyDescent="0.35">
      <c r="A1" s="18" t="s">
        <v>53</v>
      </c>
      <c r="B1" s="18"/>
      <c r="C1" s="18"/>
      <c r="D1" s="18"/>
      <c r="E1" s="18"/>
      <c r="G1" s="17" t="s">
        <v>24</v>
      </c>
      <c r="H1" s="17"/>
      <c r="I1" s="17"/>
      <c r="J1" s="17"/>
      <c r="K1" s="17"/>
      <c r="L1" s="17"/>
      <c r="M1" s="17"/>
    </row>
    <row r="2" spans="1:13" ht="160.80000000000001" customHeight="1" thickBot="1" x14ac:dyDescent="0.35">
      <c r="A2" s="10" t="s">
        <v>0</v>
      </c>
      <c r="B2" s="11" t="s">
        <v>54</v>
      </c>
      <c r="C2" s="11" t="s">
        <v>49</v>
      </c>
      <c r="D2" s="11" t="s">
        <v>50</v>
      </c>
      <c r="E2" s="12" t="s">
        <v>55</v>
      </c>
      <c r="G2" s="10" t="s">
        <v>0</v>
      </c>
      <c r="H2" s="11" t="s">
        <v>54</v>
      </c>
      <c r="I2" s="11" t="s">
        <v>49</v>
      </c>
      <c r="J2" s="11" t="s">
        <v>50</v>
      </c>
      <c r="K2" s="12" t="s">
        <v>55</v>
      </c>
      <c r="L2" s="13" t="s">
        <v>56</v>
      </c>
      <c r="M2" s="13" t="s">
        <v>25</v>
      </c>
    </row>
    <row r="3" spans="1:13" ht="15" thickBot="1" x14ac:dyDescent="0.35">
      <c r="A3" s="7" t="s">
        <v>20</v>
      </c>
      <c r="B3" s="8" t="s">
        <v>51</v>
      </c>
      <c r="C3" s="9" t="s">
        <v>52</v>
      </c>
      <c r="D3" s="9" t="s">
        <v>52</v>
      </c>
      <c r="E3" s="9" t="s">
        <v>52</v>
      </c>
      <c r="G3" s="7" t="s">
        <v>20</v>
      </c>
      <c r="H3" s="14">
        <f>IF(B3="TAK", 1, 0)</f>
        <v>0</v>
      </c>
      <c r="I3" s="14">
        <f t="shared" ref="I3:K18" si="0">IF(C3="TAK", 1, 0)</f>
        <v>1</v>
      </c>
      <c r="J3" s="14">
        <f t="shared" si="0"/>
        <v>1</v>
      </c>
      <c r="K3" s="14">
        <f t="shared" si="0"/>
        <v>1</v>
      </c>
      <c r="L3" s="14">
        <f>SUM(H3:K3)</f>
        <v>3</v>
      </c>
      <c r="M3" s="14">
        <f>RANK(L3,L$3:L$18,0)</f>
        <v>3</v>
      </c>
    </row>
    <row r="4" spans="1:13" ht="15" thickBot="1" x14ac:dyDescent="0.35">
      <c r="A4" s="7" t="s">
        <v>21</v>
      </c>
      <c r="B4" s="8" t="s">
        <v>51</v>
      </c>
      <c r="C4" s="9" t="s">
        <v>52</v>
      </c>
      <c r="D4" s="9" t="s">
        <v>52</v>
      </c>
      <c r="E4" s="9" t="s">
        <v>52</v>
      </c>
      <c r="G4" s="7" t="s">
        <v>21</v>
      </c>
      <c r="H4" s="14">
        <f t="shared" ref="H4:H18" si="1">IF(B4="TAK", 1, 0)</f>
        <v>0</v>
      </c>
      <c r="I4" s="14">
        <f t="shared" si="0"/>
        <v>1</v>
      </c>
      <c r="J4" s="14">
        <f t="shared" si="0"/>
        <v>1</v>
      </c>
      <c r="K4" s="14">
        <f t="shared" si="0"/>
        <v>1</v>
      </c>
      <c r="L4" s="14">
        <f t="shared" ref="L4:L18" si="2">SUM(H4:K4)</f>
        <v>3</v>
      </c>
      <c r="M4" s="14">
        <f t="shared" ref="M4:M18" si="3">RANK(L4,L$3:L$18,0)</f>
        <v>3</v>
      </c>
    </row>
    <row r="5" spans="1:13" ht="15" thickBot="1" x14ac:dyDescent="0.35">
      <c r="A5" s="7" t="s">
        <v>22</v>
      </c>
      <c r="B5" s="8" t="s">
        <v>51</v>
      </c>
      <c r="C5" s="9" t="s">
        <v>52</v>
      </c>
      <c r="D5" s="9" t="s">
        <v>52</v>
      </c>
      <c r="E5" s="9" t="s">
        <v>52</v>
      </c>
      <c r="G5" s="7" t="s">
        <v>22</v>
      </c>
      <c r="H5" s="14">
        <f t="shared" si="1"/>
        <v>0</v>
      </c>
      <c r="I5" s="14">
        <f t="shared" si="0"/>
        <v>1</v>
      </c>
      <c r="J5" s="14">
        <f t="shared" si="0"/>
        <v>1</v>
      </c>
      <c r="K5" s="14">
        <f t="shared" si="0"/>
        <v>1</v>
      </c>
      <c r="L5" s="14">
        <f t="shared" si="2"/>
        <v>3</v>
      </c>
      <c r="M5" s="14">
        <f t="shared" si="3"/>
        <v>3</v>
      </c>
    </row>
    <row r="6" spans="1:13" ht="15" thickBot="1" x14ac:dyDescent="0.35">
      <c r="A6" s="7" t="s">
        <v>7</v>
      </c>
      <c r="B6" s="9" t="s">
        <v>52</v>
      </c>
      <c r="C6" s="9" t="s">
        <v>52</v>
      </c>
      <c r="D6" s="9" t="s">
        <v>52</v>
      </c>
      <c r="E6" s="9" t="s">
        <v>52</v>
      </c>
      <c r="G6" s="7" t="s">
        <v>7</v>
      </c>
      <c r="H6" s="14">
        <f t="shared" si="1"/>
        <v>1</v>
      </c>
      <c r="I6" s="14">
        <f t="shared" si="0"/>
        <v>1</v>
      </c>
      <c r="J6" s="14">
        <f t="shared" si="0"/>
        <v>1</v>
      </c>
      <c r="K6" s="14">
        <f t="shared" si="0"/>
        <v>1</v>
      </c>
      <c r="L6" s="14">
        <f t="shared" si="2"/>
        <v>4</v>
      </c>
      <c r="M6" s="14">
        <f t="shared" si="3"/>
        <v>1</v>
      </c>
    </row>
    <row r="7" spans="1:13" ht="15" thickBot="1" x14ac:dyDescent="0.35">
      <c r="A7" s="7" t="s">
        <v>8</v>
      </c>
      <c r="B7" s="9" t="s">
        <v>52</v>
      </c>
      <c r="C7" s="9" t="s">
        <v>52</v>
      </c>
      <c r="D7" s="9" t="s">
        <v>52</v>
      </c>
      <c r="E7" s="9" t="s">
        <v>52</v>
      </c>
      <c r="G7" s="7" t="s">
        <v>8</v>
      </c>
      <c r="H7" s="14">
        <f t="shared" si="1"/>
        <v>1</v>
      </c>
      <c r="I7" s="14">
        <f t="shared" si="0"/>
        <v>1</v>
      </c>
      <c r="J7" s="14">
        <f t="shared" si="0"/>
        <v>1</v>
      </c>
      <c r="K7" s="14">
        <f t="shared" si="0"/>
        <v>1</v>
      </c>
      <c r="L7" s="14">
        <f t="shared" si="2"/>
        <v>4</v>
      </c>
      <c r="M7" s="14">
        <f t="shared" si="3"/>
        <v>1</v>
      </c>
    </row>
    <row r="8" spans="1:13" ht="15" thickBot="1" x14ac:dyDescent="0.35">
      <c r="A8" s="7" t="s">
        <v>9</v>
      </c>
      <c r="B8" s="9" t="s">
        <v>52</v>
      </c>
      <c r="C8" s="9" t="s">
        <v>52</v>
      </c>
      <c r="D8" s="8" t="s">
        <v>51</v>
      </c>
      <c r="E8" s="9" t="s">
        <v>52</v>
      </c>
      <c r="G8" s="7" t="s">
        <v>9</v>
      </c>
      <c r="H8" s="14">
        <f t="shared" si="1"/>
        <v>1</v>
      </c>
      <c r="I8" s="14">
        <f t="shared" si="0"/>
        <v>1</v>
      </c>
      <c r="J8" s="14">
        <f t="shared" si="0"/>
        <v>0</v>
      </c>
      <c r="K8" s="14">
        <f t="shared" si="0"/>
        <v>1</v>
      </c>
      <c r="L8" s="14">
        <f t="shared" si="2"/>
        <v>3</v>
      </c>
      <c r="M8" s="14">
        <f t="shared" si="3"/>
        <v>3</v>
      </c>
    </row>
    <row r="9" spans="1:13" ht="15" thickBot="1" x14ac:dyDescent="0.35">
      <c r="A9" s="7" t="s">
        <v>10</v>
      </c>
      <c r="B9" s="8" t="s">
        <v>51</v>
      </c>
      <c r="C9" s="9" t="s">
        <v>52</v>
      </c>
      <c r="D9" s="9" t="s">
        <v>52</v>
      </c>
      <c r="E9" s="9" t="s">
        <v>52</v>
      </c>
      <c r="G9" s="7" t="s">
        <v>10</v>
      </c>
      <c r="H9" s="14">
        <f t="shared" si="1"/>
        <v>0</v>
      </c>
      <c r="I9" s="14">
        <f t="shared" si="0"/>
        <v>1</v>
      </c>
      <c r="J9" s="14">
        <f t="shared" si="0"/>
        <v>1</v>
      </c>
      <c r="K9" s="14">
        <f t="shared" si="0"/>
        <v>1</v>
      </c>
      <c r="L9" s="14">
        <f t="shared" si="2"/>
        <v>3</v>
      </c>
      <c r="M9" s="14">
        <f t="shared" si="3"/>
        <v>3</v>
      </c>
    </row>
    <row r="10" spans="1:13" ht="15" thickBot="1" x14ac:dyDescent="0.35">
      <c r="A10" s="7" t="s">
        <v>11</v>
      </c>
      <c r="B10" s="8" t="s">
        <v>51</v>
      </c>
      <c r="C10" s="9" t="s">
        <v>52</v>
      </c>
      <c r="D10" s="9" t="s">
        <v>52</v>
      </c>
      <c r="E10" s="9" t="s">
        <v>52</v>
      </c>
      <c r="G10" s="7" t="s">
        <v>11</v>
      </c>
      <c r="H10" s="14">
        <f t="shared" si="1"/>
        <v>0</v>
      </c>
      <c r="I10" s="14">
        <f t="shared" si="0"/>
        <v>1</v>
      </c>
      <c r="J10" s="14">
        <f t="shared" si="0"/>
        <v>1</v>
      </c>
      <c r="K10" s="14">
        <f t="shared" si="0"/>
        <v>1</v>
      </c>
      <c r="L10" s="14">
        <f t="shared" si="2"/>
        <v>3</v>
      </c>
      <c r="M10" s="14">
        <f t="shared" si="3"/>
        <v>3</v>
      </c>
    </row>
    <row r="11" spans="1:13" ht="15" thickBot="1" x14ac:dyDescent="0.35">
      <c r="A11" s="7" t="s">
        <v>12</v>
      </c>
      <c r="B11" s="8" t="s">
        <v>51</v>
      </c>
      <c r="C11" s="9" t="s">
        <v>52</v>
      </c>
      <c r="D11" s="9" t="s">
        <v>52</v>
      </c>
      <c r="E11" s="9" t="s">
        <v>52</v>
      </c>
      <c r="G11" s="7" t="s">
        <v>12</v>
      </c>
      <c r="H11" s="14">
        <f t="shared" si="1"/>
        <v>0</v>
      </c>
      <c r="I11" s="14">
        <f t="shared" si="0"/>
        <v>1</v>
      </c>
      <c r="J11" s="14">
        <f t="shared" si="0"/>
        <v>1</v>
      </c>
      <c r="K11" s="14">
        <f t="shared" si="0"/>
        <v>1</v>
      </c>
      <c r="L11" s="14">
        <f t="shared" si="2"/>
        <v>3</v>
      </c>
      <c r="M11" s="14">
        <f t="shared" si="3"/>
        <v>3</v>
      </c>
    </row>
    <row r="12" spans="1:13" ht="15" thickBot="1" x14ac:dyDescent="0.35">
      <c r="A12" s="7" t="s">
        <v>13</v>
      </c>
      <c r="B12" s="8" t="s">
        <v>51</v>
      </c>
      <c r="C12" s="9" t="s">
        <v>52</v>
      </c>
      <c r="D12" s="9" t="s">
        <v>52</v>
      </c>
      <c r="E12" s="9" t="s">
        <v>52</v>
      </c>
      <c r="G12" s="7" t="s">
        <v>13</v>
      </c>
      <c r="H12" s="14">
        <f t="shared" si="1"/>
        <v>0</v>
      </c>
      <c r="I12" s="14">
        <f t="shared" si="0"/>
        <v>1</v>
      </c>
      <c r="J12" s="14">
        <f t="shared" si="0"/>
        <v>1</v>
      </c>
      <c r="K12" s="14">
        <f t="shared" si="0"/>
        <v>1</v>
      </c>
      <c r="L12" s="14">
        <f t="shared" si="2"/>
        <v>3</v>
      </c>
      <c r="M12" s="14">
        <f t="shared" si="3"/>
        <v>3</v>
      </c>
    </row>
    <row r="13" spans="1:13" ht="15" thickBot="1" x14ac:dyDescent="0.35">
      <c r="A13" s="7" t="s">
        <v>14</v>
      </c>
      <c r="B13" s="9" t="s">
        <v>52</v>
      </c>
      <c r="C13" s="9" t="s">
        <v>52</v>
      </c>
      <c r="D13" s="9" t="s">
        <v>52</v>
      </c>
      <c r="E13" s="8" t="s">
        <v>51</v>
      </c>
      <c r="G13" s="7" t="s">
        <v>14</v>
      </c>
      <c r="H13" s="14">
        <f t="shared" si="1"/>
        <v>1</v>
      </c>
      <c r="I13" s="14">
        <f t="shared" si="0"/>
        <v>1</v>
      </c>
      <c r="J13" s="14">
        <f t="shared" si="0"/>
        <v>1</v>
      </c>
      <c r="K13" s="14">
        <f t="shared" si="0"/>
        <v>0</v>
      </c>
      <c r="L13" s="14">
        <f t="shared" si="2"/>
        <v>3</v>
      </c>
      <c r="M13" s="14">
        <f t="shared" si="3"/>
        <v>3</v>
      </c>
    </row>
    <row r="14" spans="1:13" ht="15" thickBot="1" x14ac:dyDescent="0.35">
      <c r="A14" s="7" t="s">
        <v>15</v>
      </c>
      <c r="B14" s="9" t="s">
        <v>52</v>
      </c>
      <c r="C14" s="9" t="s">
        <v>52</v>
      </c>
      <c r="D14" s="9" t="s">
        <v>52</v>
      </c>
      <c r="E14" s="8" t="s">
        <v>51</v>
      </c>
      <c r="G14" s="7" t="s">
        <v>15</v>
      </c>
      <c r="H14" s="14">
        <f t="shared" si="1"/>
        <v>1</v>
      </c>
      <c r="I14" s="14">
        <f t="shared" si="0"/>
        <v>1</v>
      </c>
      <c r="J14" s="14">
        <f t="shared" si="0"/>
        <v>1</v>
      </c>
      <c r="K14" s="14">
        <f t="shared" si="0"/>
        <v>0</v>
      </c>
      <c r="L14" s="14">
        <f t="shared" si="2"/>
        <v>3</v>
      </c>
      <c r="M14" s="14">
        <f t="shared" si="3"/>
        <v>3</v>
      </c>
    </row>
    <row r="15" spans="1:13" ht="15" thickBot="1" x14ac:dyDescent="0.35">
      <c r="A15" s="7" t="s">
        <v>16</v>
      </c>
      <c r="B15" s="9" t="s">
        <v>52</v>
      </c>
      <c r="C15" s="8" t="s">
        <v>51</v>
      </c>
      <c r="D15" s="8" t="s">
        <v>51</v>
      </c>
      <c r="E15" s="8" t="s">
        <v>51</v>
      </c>
      <c r="G15" s="7" t="s">
        <v>16</v>
      </c>
      <c r="H15" s="14">
        <f t="shared" si="1"/>
        <v>1</v>
      </c>
      <c r="I15" s="14">
        <f t="shared" si="0"/>
        <v>0</v>
      </c>
      <c r="J15" s="14">
        <f t="shared" si="0"/>
        <v>0</v>
      </c>
      <c r="K15" s="14">
        <f t="shared" si="0"/>
        <v>0</v>
      </c>
      <c r="L15" s="14">
        <f t="shared" si="2"/>
        <v>1</v>
      </c>
      <c r="M15" s="14">
        <f t="shared" si="3"/>
        <v>13</v>
      </c>
    </row>
    <row r="16" spans="1:13" ht="15" thickBot="1" x14ac:dyDescent="0.35">
      <c r="A16" s="7" t="s">
        <v>17</v>
      </c>
      <c r="B16" s="9" t="s">
        <v>52</v>
      </c>
      <c r="C16" s="8" t="s">
        <v>51</v>
      </c>
      <c r="D16" s="8" t="s">
        <v>51</v>
      </c>
      <c r="E16" s="8" t="s">
        <v>51</v>
      </c>
      <c r="G16" s="7" t="s">
        <v>17</v>
      </c>
      <c r="H16" s="14">
        <f t="shared" si="1"/>
        <v>1</v>
      </c>
      <c r="I16" s="14">
        <f t="shared" si="0"/>
        <v>0</v>
      </c>
      <c r="J16" s="14">
        <f t="shared" si="0"/>
        <v>0</v>
      </c>
      <c r="K16" s="14">
        <f t="shared" si="0"/>
        <v>0</v>
      </c>
      <c r="L16" s="14">
        <f t="shared" si="2"/>
        <v>1</v>
      </c>
      <c r="M16" s="14">
        <f t="shared" si="3"/>
        <v>13</v>
      </c>
    </row>
    <row r="17" spans="1:13" ht="15" thickBot="1" x14ac:dyDescent="0.35">
      <c r="A17" s="7" t="s">
        <v>18</v>
      </c>
      <c r="B17" s="8" t="s">
        <v>51</v>
      </c>
      <c r="C17" s="9" t="s">
        <v>52</v>
      </c>
      <c r="D17" s="8" t="s">
        <v>51</v>
      </c>
      <c r="E17" s="8" t="s">
        <v>51</v>
      </c>
      <c r="G17" s="7" t="s">
        <v>18</v>
      </c>
      <c r="H17" s="14">
        <f t="shared" si="1"/>
        <v>0</v>
      </c>
      <c r="I17" s="14">
        <f t="shared" si="0"/>
        <v>1</v>
      </c>
      <c r="J17" s="14">
        <f t="shared" si="0"/>
        <v>0</v>
      </c>
      <c r="K17" s="14">
        <f t="shared" si="0"/>
        <v>0</v>
      </c>
      <c r="L17" s="14">
        <f t="shared" si="2"/>
        <v>1</v>
      </c>
      <c r="M17" s="14">
        <f t="shared" si="3"/>
        <v>13</v>
      </c>
    </row>
    <row r="18" spans="1:13" ht="15" thickBot="1" x14ac:dyDescent="0.35">
      <c r="A18" s="7" t="s">
        <v>19</v>
      </c>
      <c r="B18" s="9" t="s">
        <v>52</v>
      </c>
      <c r="C18" s="8" t="s">
        <v>51</v>
      </c>
      <c r="D18" s="8" t="s">
        <v>51</v>
      </c>
      <c r="E18" s="8" t="s">
        <v>51</v>
      </c>
      <c r="G18" s="7" t="s">
        <v>19</v>
      </c>
      <c r="H18" s="14">
        <f t="shared" si="1"/>
        <v>1</v>
      </c>
      <c r="I18" s="14">
        <f t="shared" si="0"/>
        <v>0</v>
      </c>
      <c r="J18" s="14">
        <f t="shared" si="0"/>
        <v>0</v>
      </c>
      <c r="K18" s="14">
        <f t="shared" si="0"/>
        <v>0</v>
      </c>
      <c r="L18" s="14">
        <f t="shared" si="2"/>
        <v>1</v>
      </c>
      <c r="M18" s="14">
        <f t="shared" si="3"/>
        <v>13</v>
      </c>
    </row>
  </sheetData>
  <mergeCells count="2">
    <mergeCell ref="G1:M1"/>
    <mergeCell ref="A1:E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344F5-2932-4A60-8387-47EA061F2912}">
  <dimension ref="A1:O36"/>
  <sheetViews>
    <sheetView tabSelected="1" topLeftCell="A21" workbookViewId="0">
      <selection activeCell="M29" sqref="M29"/>
    </sheetView>
  </sheetViews>
  <sheetFormatPr defaultRowHeight="14.4" x14ac:dyDescent="0.3"/>
  <cols>
    <col min="1" max="1" width="16.33203125" customWidth="1"/>
    <col min="4" max="4" width="10" customWidth="1"/>
    <col min="7" max="7" width="9.88671875" customWidth="1"/>
    <col min="8" max="8" width="9.77734375" customWidth="1"/>
    <col min="10" max="10" width="10" customWidth="1"/>
    <col min="12" max="12" width="16.77734375" customWidth="1"/>
    <col min="13" max="13" width="28.77734375" customWidth="1"/>
    <col min="15" max="15" width="15.6640625" customWidth="1"/>
  </cols>
  <sheetData>
    <row r="1" spans="1:15" ht="15" thickBot="1" x14ac:dyDescent="0.35">
      <c r="A1" s="17" t="s">
        <v>67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5" ht="15" thickBot="1" x14ac:dyDescent="0.35">
      <c r="A2" s="1" t="s">
        <v>0</v>
      </c>
      <c r="B2" s="2" t="s">
        <v>57</v>
      </c>
      <c r="C2" s="2" t="s">
        <v>58</v>
      </c>
      <c r="D2" s="2" t="s">
        <v>59</v>
      </c>
      <c r="E2" s="2" t="s">
        <v>65</v>
      </c>
      <c r="F2" s="2" t="s">
        <v>60</v>
      </c>
      <c r="G2" s="1" t="s">
        <v>61</v>
      </c>
      <c r="H2" s="2" t="s">
        <v>62</v>
      </c>
      <c r="I2" s="2" t="s">
        <v>66</v>
      </c>
      <c r="J2" s="2" t="s">
        <v>63</v>
      </c>
      <c r="K2" s="2" t="s">
        <v>2</v>
      </c>
      <c r="L2" s="2" t="s">
        <v>64</v>
      </c>
      <c r="N2" s="15" t="s">
        <v>2</v>
      </c>
      <c r="O2" s="15" t="s">
        <v>64</v>
      </c>
    </row>
    <row r="3" spans="1:15" ht="15" thickBot="1" x14ac:dyDescent="0.35">
      <c r="A3" s="7" t="s">
        <v>20</v>
      </c>
      <c r="B3" s="4" cm="1">
        <f t="array" aca="1" ref="B3" ca="1">INDIRECT("'" &amp; B$2 &amp; "'!Q3")</f>
        <v>16</v>
      </c>
      <c r="C3" s="4" cm="1">
        <f t="array" aca="1" ref="C3" ca="1">INDIRECT("'" &amp; C$2 &amp; "'!Q3")</f>
        <v>16</v>
      </c>
      <c r="D3" s="4" cm="1">
        <f t="array" aca="1" ref="D3" ca="1">INDIRECT("'" &amp; D$2 &amp; "'!O3")</f>
        <v>11</v>
      </c>
      <c r="E3" s="4" cm="1">
        <f t="array" aca="1" ref="E3" ca="1">INDIRECT("'" &amp; E$2 &amp; "'!O3")</f>
        <v>8</v>
      </c>
      <c r="F3" s="4" cm="1">
        <f t="array" aca="1" ref="F3" ca="1">INDIRECT("'" &amp; F$2 &amp; "'!M3")</f>
        <v>7</v>
      </c>
      <c r="G3" s="4" cm="1">
        <f t="array" aca="1" ref="G3" ca="1">INDIRECT("'" &amp; G$2 &amp; "'!M3")</f>
        <v>3</v>
      </c>
      <c r="H3" s="4" cm="1">
        <f t="array" aca="1" ref="H3" ca="1">INDIRECT("'" &amp; H$2 &amp; "'!Y3")</f>
        <v>16</v>
      </c>
      <c r="I3" s="4" cm="1">
        <f t="array" aca="1" ref="I3" ca="1">INDIRECT("'" &amp; I$2 &amp; "'!Y3")</f>
        <v>16</v>
      </c>
      <c r="J3" s="4" cm="1">
        <f t="array" aca="1" ref="J3" ca="1">INDIRECT("'" &amp; J$2 &amp; "'!M3")</f>
        <v>3</v>
      </c>
      <c r="K3" s="4">
        <f ca="1">RANK(N3,N$3:N$18,1)</f>
        <v>16</v>
      </c>
      <c r="L3" s="4">
        <f ca="1">RANK(O3,O$3:O$18,1)</f>
        <v>16</v>
      </c>
      <c r="N3" s="16">
        <f ca="1">AVERAGE(B3:J3)</f>
        <v>10.666666666666666</v>
      </c>
      <c r="O3" s="16">
        <f ca="1">AVERAGE(B3:I3)</f>
        <v>11.625</v>
      </c>
    </row>
    <row r="4" spans="1:15" ht="15" thickBot="1" x14ac:dyDescent="0.35">
      <c r="A4" s="7" t="s">
        <v>21</v>
      </c>
      <c r="B4" s="4" cm="1">
        <f t="array" aca="1" ref="B4" ca="1">INDIRECT("'" &amp; B$2 &amp; "'!Q4")</f>
        <v>16</v>
      </c>
      <c r="C4" s="4" cm="1">
        <f t="array" aca="1" ref="C4" ca="1">INDIRECT("'" &amp; C$2 &amp; "'!Q4")</f>
        <v>16</v>
      </c>
      <c r="D4" s="4" cm="1">
        <f t="array" aca="1" ref="D4" ca="1">INDIRECT("'" &amp; D$2 &amp; "'!O4")</f>
        <v>6</v>
      </c>
      <c r="E4" s="4" cm="1">
        <f t="array" aca="1" ref="E4" ca="1">INDIRECT("'" &amp; E$2 &amp; "'!O4")</f>
        <v>4</v>
      </c>
      <c r="F4" s="4" cm="1">
        <f t="array" aca="1" ref="F4" ca="1">INDIRECT("'" &amp; F$2 &amp; "'!M4")</f>
        <v>4</v>
      </c>
      <c r="G4" s="4" cm="1">
        <f t="array" aca="1" ref="G4" ca="1">INDIRECT("'" &amp; G$2 &amp; "'!M4")</f>
        <v>2</v>
      </c>
      <c r="H4" s="4" cm="1">
        <f t="array" aca="1" ref="H4" ca="1">INDIRECT("'" &amp; H$2 &amp; "'!Y4")</f>
        <v>16</v>
      </c>
      <c r="I4" s="4" cm="1">
        <f t="array" aca="1" ref="I4" ca="1">INDIRECT("'" &amp; I$2 &amp; "'!Y4")</f>
        <v>16</v>
      </c>
      <c r="J4" s="4" cm="1">
        <f t="array" aca="1" ref="J4" ca="1">INDIRECT("'" &amp; J$2 &amp; "'!M4")</f>
        <v>3</v>
      </c>
      <c r="K4" s="4">
        <f t="shared" ref="K4:K18" ca="1" si="0">RANK(N4,N$3:N$18,1)</f>
        <v>10</v>
      </c>
      <c r="L4" s="4">
        <f t="shared" ref="L4:L18" ca="1" si="1">RANK(O4,O$3:O$18,1)</f>
        <v>11</v>
      </c>
      <c r="N4" s="16">
        <f t="shared" ref="N4:N18" ca="1" si="2">AVERAGE(B4:J4)</f>
        <v>9.2222222222222214</v>
      </c>
      <c r="O4" s="16">
        <f t="shared" ref="O4:O18" ca="1" si="3">AVERAGE(B4:I4)</f>
        <v>10</v>
      </c>
    </row>
    <row r="5" spans="1:15" ht="15" thickBot="1" x14ac:dyDescent="0.35">
      <c r="A5" s="7" t="s">
        <v>22</v>
      </c>
      <c r="B5" s="4" cm="1">
        <f t="array" aca="1" ref="B5" ca="1">INDIRECT("'" &amp; B$2 &amp; "'!Q5")</f>
        <v>16</v>
      </c>
      <c r="C5" s="4" cm="1">
        <f t="array" aca="1" ref="C5" ca="1">INDIRECT("'" &amp; C$2 &amp; "'!Q5")</f>
        <v>16</v>
      </c>
      <c r="D5" s="4" cm="1">
        <f t="array" aca="1" ref="D5" ca="1">INDIRECT("'" &amp; D$2 &amp; "'!O5")</f>
        <v>9</v>
      </c>
      <c r="E5" s="4" cm="1">
        <f t="array" aca="1" ref="E5" ca="1">INDIRECT("'" &amp; E$2 &amp; "'!O5")</f>
        <v>7</v>
      </c>
      <c r="F5" s="4" cm="1">
        <f t="array" aca="1" ref="F5" ca="1">INDIRECT("'" &amp; F$2 &amp; "'!M5")</f>
        <v>6</v>
      </c>
      <c r="G5" s="4" cm="1">
        <f t="array" aca="1" ref="G5" ca="1">INDIRECT("'" &amp; G$2 &amp; "'!M5")</f>
        <v>5</v>
      </c>
      <c r="H5" s="4" cm="1">
        <f t="array" aca="1" ref="H5" ca="1">INDIRECT("'" &amp; H$2 &amp; "'!Y5")</f>
        <v>16</v>
      </c>
      <c r="I5" s="4" cm="1">
        <f t="array" aca="1" ref="I5" ca="1">INDIRECT("'" &amp; I$2 &amp; "'!Y5")</f>
        <v>16</v>
      </c>
      <c r="J5" s="4" cm="1">
        <f t="array" aca="1" ref="J5" ca="1">INDIRECT("'" &amp; J$2 &amp; "'!M5")</f>
        <v>3</v>
      </c>
      <c r="K5" s="4">
        <f t="shared" ca="1" si="0"/>
        <v>14</v>
      </c>
      <c r="L5" s="4">
        <f t="shared" ca="1" si="1"/>
        <v>14</v>
      </c>
      <c r="N5" s="16">
        <f t="shared" ca="1" si="2"/>
        <v>10.444444444444445</v>
      </c>
      <c r="O5" s="16">
        <f t="shared" ca="1" si="3"/>
        <v>11.375</v>
      </c>
    </row>
    <row r="6" spans="1:15" ht="15" thickBot="1" x14ac:dyDescent="0.35">
      <c r="A6" s="7" t="s">
        <v>7</v>
      </c>
      <c r="B6" s="4" cm="1">
        <f t="array" aca="1" ref="B6" ca="1">INDIRECT("'" &amp; B$2 &amp; "'!Q6")</f>
        <v>7</v>
      </c>
      <c r="C6" s="4" cm="1">
        <f t="array" aca="1" ref="C6" ca="1">INDIRECT("'" &amp; C$2 &amp; "'!Q6")</f>
        <v>7</v>
      </c>
      <c r="D6" s="4" cm="1">
        <f t="array" aca="1" ref="D6" ca="1">INDIRECT("'" &amp; D$2 &amp; "'!O6")</f>
        <v>10</v>
      </c>
      <c r="E6" s="4" cm="1">
        <f t="array" aca="1" ref="E6" ca="1">INDIRECT("'" &amp; E$2 &amp; "'!O6")</f>
        <v>15</v>
      </c>
      <c r="F6" s="4" cm="1">
        <f t="array" aca="1" ref="F6" ca="1">INDIRECT("'" &amp; F$2 &amp; "'!M6")</f>
        <v>5</v>
      </c>
      <c r="G6" s="4" cm="1">
        <f t="array" aca="1" ref="G6" ca="1">INDIRECT("'" &amp; G$2 &amp; "'!M6")</f>
        <v>9</v>
      </c>
      <c r="H6" s="4" cm="1">
        <f t="array" aca="1" ref="H6" ca="1">INDIRECT("'" &amp; H$2 &amp; "'!Y6")</f>
        <v>6</v>
      </c>
      <c r="I6" s="4" cm="1">
        <f t="array" aca="1" ref="I6" ca="1">INDIRECT("'" &amp; I$2 &amp; "'!Y6")</f>
        <v>1</v>
      </c>
      <c r="J6" s="4" cm="1">
        <f t="array" aca="1" ref="J6" ca="1">INDIRECT("'" &amp; J$2 &amp; "'!M6")</f>
        <v>1</v>
      </c>
      <c r="K6" s="4">
        <f t="shared" ca="1" si="0"/>
        <v>5</v>
      </c>
      <c r="L6" s="4">
        <f t="shared" ca="1" si="1"/>
        <v>7</v>
      </c>
      <c r="N6" s="16">
        <f t="shared" ca="1" si="2"/>
        <v>6.7777777777777777</v>
      </c>
      <c r="O6" s="16">
        <f t="shared" ca="1" si="3"/>
        <v>7.5</v>
      </c>
    </row>
    <row r="7" spans="1:15" ht="15" thickBot="1" x14ac:dyDescent="0.35">
      <c r="A7" s="7" t="s">
        <v>8</v>
      </c>
      <c r="B7" s="4" cm="1">
        <f t="array" aca="1" ref="B7" ca="1">INDIRECT("'" &amp; B$2 &amp; "'!Q7")</f>
        <v>6</v>
      </c>
      <c r="C7" s="4" cm="1">
        <f t="array" aca="1" ref="C7" ca="1">INDIRECT("'" &amp; C$2 &amp; "'!Q7")</f>
        <v>12</v>
      </c>
      <c r="D7" s="4" cm="1">
        <f t="array" aca="1" ref="D7" ca="1">INDIRECT("'" &amp; D$2 &amp; "'!O7")</f>
        <v>7</v>
      </c>
      <c r="E7" s="4" cm="1">
        <f t="array" aca="1" ref="E7" ca="1">INDIRECT("'" &amp; E$2 &amp; "'!O7")</f>
        <v>6</v>
      </c>
      <c r="F7" s="4" cm="1">
        <f t="array" aca="1" ref="F7" ca="1">INDIRECT("'" &amp; F$2 &amp; "'!M7")</f>
        <v>3</v>
      </c>
      <c r="G7" s="4" cm="1">
        <f t="array" aca="1" ref="G7" ca="1">INDIRECT("'" &amp; G$2 &amp; "'!M7")</f>
        <v>4</v>
      </c>
      <c r="H7" s="4" cm="1">
        <f t="array" aca="1" ref="H7" ca="1">INDIRECT("'" &amp; H$2 &amp; "'!Y7")</f>
        <v>10</v>
      </c>
      <c r="I7" s="4" cm="1">
        <f t="array" aca="1" ref="I7" ca="1">INDIRECT("'" &amp; I$2 &amp; "'!Y7")</f>
        <v>7</v>
      </c>
      <c r="J7" s="4" cm="1">
        <f t="array" aca="1" ref="J7" ca="1">INDIRECT("'" &amp; J$2 &amp; "'!M7")</f>
        <v>1</v>
      </c>
      <c r="K7" s="4">
        <f t="shared" ca="1" si="0"/>
        <v>4</v>
      </c>
      <c r="L7" s="4">
        <f t="shared" ca="1" si="1"/>
        <v>5</v>
      </c>
      <c r="N7" s="16">
        <f t="shared" ca="1" si="2"/>
        <v>6.2222222222222223</v>
      </c>
      <c r="O7" s="16">
        <f t="shared" ca="1" si="3"/>
        <v>6.875</v>
      </c>
    </row>
    <row r="8" spans="1:15" ht="15" thickBot="1" x14ac:dyDescent="0.35">
      <c r="A8" s="7" t="s">
        <v>9</v>
      </c>
      <c r="B8" s="4" cm="1">
        <f t="array" aca="1" ref="B8" ca="1">INDIRECT("'" &amp; B$2 &amp; "'!Q8")</f>
        <v>5</v>
      </c>
      <c r="C8" s="4" cm="1">
        <f t="array" aca="1" ref="C8" ca="1">INDIRECT("'" &amp; C$2 &amp; "'!Q8")</f>
        <v>6</v>
      </c>
      <c r="D8" s="4" cm="1">
        <f t="array" aca="1" ref="D8" ca="1">INDIRECT("'" &amp; D$2 &amp; "'!O8")</f>
        <v>13</v>
      </c>
      <c r="E8" s="4" cm="1">
        <f t="array" aca="1" ref="E8" ca="1">INDIRECT("'" &amp; E$2 &amp; "'!O8")</f>
        <v>16</v>
      </c>
      <c r="F8" s="4" cm="1">
        <f t="array" aca="1" ref="F8" ca="1">INDIRECT("'" &amp; F$2 &amp; "'!M8")</f>
        <v>7</v>
      </c>
      <c r="G8" s="4" cm="1">
        <f t="array" aca="1" ref="G8" ca="1">INDIRECT("'" &amp; G$2 &amp; "'!M8")</f>
        <v>7</v>
      </c>
      <c r="H8" s="4" cm="1">
        <f t="array" aca="1" ref="H8" ca="1">INDIRECT("'" &amp; H$2 &amp; "'!Y8")</f>
        <v>2</v>
      </c>
      <c r="I8" s="4" cm="1">
        <f t="array" aca="1" ref="I8" ca="1">INDIRECT("'" &amp; I$2 &amp; "'!Y8")</f>
        <v>6</v>
      </c>
      <c r="J8" s="4" cm="1">
        <f t="array" aca="1" ref="J8" ca="1">INDIRECT("'" &amp; J$2 &amp; "'!M8")</f>
        <v>3</v>
      </c>
      <c r="K8" s="4">
        <f t="shared" ca="1" si="0"/>
        <v>6</v>
      </c>
      <c r="L8" s="4">
        <f t="shared" ca="1" si="1"/>
        <v>8</v>
      </c>
      <c r="N8" s="16">
        <f t="shared" ca="1" si="2"/>
        <v>7.2222222222222223</v>
      </c>
      <c r="O8" s="16">
        <f t="shared" ca="1" si="3"/>
        <v>7.75</v>
      </c>
    </row>
    <row r="9" spans="1:15" ht="15" thickBot="1" x14ac:dyDescent="0.35">
      <c r="A9" s="7" t="s">
        <v>10</v>
      </c>
      <c r="B9" s="4" cm="1">
        <f t="array" aca="1" ref="B9" ca="1">INDIRECT("'" &amp; B$2 &amp; "'!Q9")</f>
        <v>9</v>
      </c>
      <c r="C9" s="4" cm="1">
        <f t="array" aca="1" ref="C9" ca="1">INDIRECT("'" &amp; C$2 &amp; "'!Q9")</f>
        <v>11</v>
      </c>
      <c r="D9" s="4" cm="1">
        <f t="array" aca="1" ref="D9" ca="1">INDIRECT("'" &amp; D$2 &amp; "'!O9")</f>
        <v>14</v>
      </c>
      <c r="E9" s="4" cm="1">
        <f t="array" aca="1" ref="E9" ca="1">INDIRECT("'" &amp; E$2 &amp; "'!O9")</f>
        <v>11</v>
      </c>
      <c r="F9" s="4" cm="1">
        <f t="array" aca="1" ref="F9" ca="1">INDIRECT("'" &amp; F$2 &amp; "'!M9")</f>
        <v>13</v>
      </c>
      <c r="G9" s="4" cm="1">
        <f t="array" aca="1" ref="G9" ca="1">INDIRECT("'" &amp; G$2 &amp; "'!M9")</f>
        <v>14</v>
      </c>
      <c r="H9" s="4" cm="1">
        <f t="array" aca="1" ref="H9" ca="1">INDIRECT("'" &amp; H$2 &amp; "'!Y9")</f>
        <v>9</v>
      </c>
      <c r="I9" s="4" cm="1">
        <f t="array" aca="1" ref="I9" ca="1">INDIRECT("'" &amp; I$2 &amp; "'!Y9")</f>
        <v>10</v>
      </c>
      <c r="J9" s="4" cm="1">
        <f t="array" aca="1" ref="J9" ca="1">INDIRECT("'" &amp; J$2 &amp; "'!M9")</f>
        <v>3</v>
      </c>
      <c r="K9" s="4">
        <f t="shared" ca="1" si="0"/>
        <v>14</v>
      </c>
      <c r="L9" s="4">
        <f t="shared" ca="1" si="1"/>
        <v>14</v>
      </c>
      <c r="N9" s="16">
        <f t="shared" ca="1" si="2"/>
        <v>10.444444444444445</v>
      </c>
      <c r="O9" s="16">
        <f t="shared" ca="1" si="3"/>
        <v>11.375</v>
      </c>
    </row>
    <row r="10" spans="1:15" ht="15" thickBot="1" x14ac:dyDescent="0.35">
      <c r="A10" s="7" t="s">
        <v>11</v>
      </c>
      <c r="B10" s="4" cm="1">
        <f t="array" aca="1" ref="B10" ca="1">INDIRECT("'" &amp; B$2 &amp; "'!Q10")</f>
        <v>13</v>
      </c>
      <c r="C10" s="4" cm="1">
        <f t="array" aca="1" ref="C10" ca="1">INDIRECT("'" &amp; C$2 &amp; "'!Q10")</f>
        <v>13</v>
      </c>
      <c r="D10" s="4" cm="1">
        <f t="array" aca="1" ref="D10" ca="1">INDIRECT("'" &amp; D$2 &amp; "'!O10")</f>
        <v>12</v>
      </c>
      <c r="E10" s="4" cm="1">
        <f t="array" aca="1" ref="E10" ca="1">INDIRECT("'" &amp; E$2 &amp; "'!O10")</f>
        <v>10</v>
      </c>
      <c r="F10" s="4" cm="1">
        <f t="array" aca="1" ref="F10" ca="1">INDIRECT("'" &amp; F$2 &amp; "'!M10")</f>
        <v>14</v>
      </c>
      <c r="G10" s="4" cm="1">
        <f t="array" aca="1" ref="G10" ca="1">INDIRECT("'" &amp; G$2 &amp; "'!M10")</f>
        <v>15</v>
      </c>
      <c r="H10" s="4" cm="1">
        <f t="array" aca="1" ref="H10" ca="1">INDIRECT("'" &amp; H$2 &amp; "'!Y10")</f>
        <v>1</v>
      </c>
      <c r="I10" s="4" cm="1">
        <f t="array" aca="1" ref="I10" ca="1">INDIRECT("'" &amp; I$2 &amp; "'!Y10")</f>
        <v>3</v>
      </c>
      <c r="J10" s="4" cm="1">
        <f t="array" aca="1" ref="J10" ca="1">INDIRECT("'" &amp; J$2 &amp; "'!M10")</f>
        <v>3</v>
      </c>
      <c r="K10" s="4">
        <f t="shared" ca="1" si="0"/>
        <v>11</v>
      </c>
      <c r="L10" s="4">
        <f t="shared" ca="1" si="1"/>
        <v>12</v>
      </c>
      <c r="N10" s="16">
        <f t="shared" ca="1" si="2"/>
        <v>9.3333333333333339</v>
      </c>
      <c r="O10" s="16">
        <f t="shared" ca="1" si="3"/>
        <v>10.125</v>
      </c>
    </row>
    <row r="11" spans="1:15" ht="15" thickBot="1" x14ac:dyDescent="0.35">
      <c r="A11" s="7" t="s">
        <v>12</v>
      </c>
      <c r="B11" s="4" cm="1">
        <f t="array" aca="1" ref="B11" ca="1">INDIRECT("'" &amp; B$2 &amp; "'!Q11")</f>
        <v>11</v>
      </c>
      <c r="C11" s="4" cm="1">
        <f t="array" aca="1" ref="C11" ca="1">INDIRECT("'" &amp; C$2 &amp; "'!Q11")</f>
        <v>9</v>
      </c>
      <c r="D11" s="4" cm="1">
        <f t="array" aca="1" ref="D11" ca="1">INDIRECT("'" &amp; D$2 &amp; "'!O11")</f>
        <v>15</v>
      </c>
      <c r="E11" s="4" cm="1">
        <f t="array" aca="1" ref="E11" ca="1">INDIRECT("'" &amp; E$2 &amp; "'!O11")</f>
        <v>13</v>
      </c>
      <c r="F11" s="4" cm="1">
        <f t="array" aca="1" ref="F11" ca="1">INDIRECT("'" &amp; F$2 &amp; "'!M11")</f>
        <v>15</v>
      </c>
      <c r="G11" s="4" cm="1">
        <f t="array" aca="1" ref="G11" ca="1">INDIRECT("'" &amp; G$2 &amp; "'!M11")</f>
        <v>11</v>
      </c>
      <c r="H11" s="4" cm="1">
        <f t="array" aca="1" ref="H11" ca="1">INDIRECT("'" &amp; H$2 &amp; "'!Y11")</f>
        <v>4</v>
      </c>
      <c r="I11" s="4" cm="1">
        <f t="array" aca="1" ref="I11" ca="1">INDIRECT("'" &amp; I$2 &amp; "'!Y11")</f>
        <v>5</v>
      </c>
      <c r="J11" s="4" cm="1">
        <f t="array" aca="1" ref="J11" ca="1">INDIRECT("'" &amp; J$2 &amp; "'!M11")</f>
        <v>3</v>
      </c>
      <c r="K11" s="4">
        <f t="shared" ca="1" si="0"/>
        <v>12</v>
      </c>
      <c r="L11" s="4">
        <f t="shared" ca="1" si="1"/>
        <v>13</v>
      </c>
      <c r="N11" s="16">
        <f t="shared" ca="1" si="2"/>
        <v>9.5555555555555554</v>
      </c>
      <c r="O11" s="16">
        <f t="shared" ca="1" si="3"/>
        <v>10.375</v>
      </c>
    </row>
    <row r="12" spans="1:15" ht="15" thickBot="1" x14ac:dyDescent="0.35">
      <c r="A12" s="7" t="s">
        <v>13</v>
      </c>
      <c r="B12" s="4" cm="1">
        <f t="array" aca="1" ref="B12" ca="1">INDIRECT("'" &amp; B$2 &amp; "'!Q12")</f>
        <v>10</v>
      </c>
      <c r="C12" s="4" cm="1">
        <f t="array" aca="1" ref="C12" ca="1">INDIRECT("'" &amp; C$2 &amp; "'!Q12")</f>
        <v>8</v>
      </c>
      <c r="D12" s="4" cm="1">
        <f t="array" aca="1" ref="D12" ca="1">INDIRECT("'" &amp; D$2 &amp; "'!O12")</f>
        <v>15</v>
      </c>
      <c r="E12" s="4" cm="1">
        <f t="array" aca="1" ref="E12" ca="1">INDIRECT("'" &amp; E$2 &amp; "'!O12")</f>
        <v>12</v>
      </c>
      <c r="F12" s="4" cm="1">
        <f t="array" aca="1" ref="F12" ca="1">INDIRECT("'" &amp; F$2 &amp; "'!M12")</f>
        <v>15</v>
      </c>
      <c r="G12" s="4" cm="1">
        <f t="array" aca="1" ref="G12" ca="1">INDIRECT("'" &amp; G$2 &amp; "'!M12")</f>
        <v>11</v>
      </c>
      <c r="H12" s="4" cm="1">
        <f t="array" aca="1" ref="H12" ca="1">INDIRECT("'" &amp; H$2 &amp; "'!Y12")</f>
        <v>5</v>
      </c>
      <c r="I12" s="4" cm="1">
        <f t="array" aca="1" ref="I12" ca="1">INDIRECT("'" &amp; I$2 &amp; "'!Y12")</f>
        <v>1</v>
      </c>
      <c r="J12" s="4" cm="1">
        <f t="array" aca="1" ref="J12" ca="1">INDIRECT("'" &amp; J$2 &amp; "'!M12")</f>
        <v>3</v>
      </c>
      <c r="K12" s="4">
        <f t="shared" ca="1" si="0"/>
        <v>9</v>
      </c>
      <c r="L12" s="4">
        <f t="shared" ca="1" si="1"/>
        <v>10</v>
      </c>
      <c r="N12" s="16">
        <f t="shared" ca="1" si="2"/>
        <v>8.8888888888888893</v>
      </c>
      <c r="O12" s="16">
        <f t="shared" ca="1" si="3"/>
        <v>9.625</v>
      </c>
    </row>
    <row r="13" spans="1:15" ht="15" thickBot="1" x14ac:dyDescent="0.35">
      <c r="A13" s="7" t="s">
        <v>14</v>
      </c>
      <c r="B13" s="4" cm="1">
        <f t="array" aca="1" ref="B13" ca="1">INDIRECT("'" &amp; B$2 &amp; "'!Q13")</f>
        <v>3</v>
      </c>
      <c r="C13" s="4" cm="1">
        <f t="array" aca="1" ref="C13" ca="1">INDIRECT("'" &amp; C$2 &amp; "'!Q13")</f>
        <v>4</v>
      </c>
      <c r="D13" s="4" cm="1">
        <f t="array" aca="1" ref="D13" ca="1">INDIRECT("'" &amp; D$2 &amp; "'!O13")</f>
        <v>2</v>
      </c>
      <c r="E13" s="4" cm="1">
        <f t="array" aca="1" ref="E13" ca="1">INDIRECT("'" &amp; E$2 &amp; "'!O13")</f>
        <v>1</v>
      </c>
      <c r="F13" s="4" cm="1">
        <f t="array" aca="1" ref="F13" ca="1">INDIRECT("'" &amp; F$2 &amp; "'!M13")</f>
        <v>9</v>
      </c>
      <c r="G13" s="4" cm="1">
        <f t="array" aca="1" ref="G13" ca="1">INDIRECT("'" &amp; G$2 &amp; "'!M13")</f>
        <v>9</v>
      </c>
      <c r="H13" s="4" cm="1">
        <f t="array" aca="1" ref="H13" ca="1">INDIRECT("'" &amp; H$2 &amp; "'!Y13")</f>
        <v>11</v>
      </c>
      <c r="I13" s="4" cm="1">
        <f t="array" aca="1" ref="I13" ca="1">INDIRECT("'" &amp; I$2 &amp; "'!Y13")</f>
        <v>4</v>
      </c>
      <c r="J13" s="4" cm="1">
        <f t="array" aca="1" ref="J13" ca="1">INDIRECT("'" &amp; J$2 &amp; "'!M13")</f>
        <v>3</v>
      </c>
      <c r="K13" s="4">
        <f t="shared" ca="1" si="0"/>
        <v>1</v>
      </c>
      <c r="L13" s="4">
        <f t="shared" ca="1" si="1"/>
        <v>2</v>
      </c>
      <c r="N13" s="16">
        <f t="shared" ca="1" si="2"/>
        <v>5.1111111111111107</v>
      </c>
      <c r="O13" s="16">
        <f t="shared" ca="1" si="3"/>
        <v>5.375</v>
      </c>
    </row>
    <row r="14" spans="1:15" ht="15" thickBot="1" x14ac:dyDescent="0.35">
      <c r="A14" s="7" t="s">
        <v>15</v>
      </c>
      <c r="B14" s="4" cm="1">
        <f t="array" aca="1" ref="B14" ca="1">INDIRECT("'" &amp; B$2 &amp; "'!Q14")</f>
        <v>4</v>
      </c>
      <c r="C14" s="4" cm="1">
        <f t="array" aca="1" ref="C14" ca="1">INDIRECT("'" &amp; C$2 &amp; "'!Q14")</f>
        <v>2</v>
      </c>
      <c r="D14" s="4" cm="1">
        <f t="array" aca="1" ref="D14" ca="1">INDIRECT("'" &amp; D$2 &amp; "'!O14")</f>
        <v>4</v>
      </c>
      <c r="E14" s="4" cm="1">
        <f t="array" aca="1" ref="E14" ca="1">INDIRECT("'" &amp; E$2 &amp; "'!O14")</f>
        <v>4</v>
      </c>
      <c r="F14" s="4" cm="1">
        <f t="array" aca="1" ref="F14" ca="1">INDIRECT("'" &amp; F$2 &amp; "'!M14")</f>
        <v>9</v>
      </c>
      <c r="G14" s="4" cm="1">
        <f t="array" aca="1" ref="G14" ca="1">INDIRECT("'" &amp; G$2 &amp; "'!M14")</f>
        <v>8</v>
      </c>
      <c r="H14" s="4" cm="1">
        <f t="array" aca="1" ref="H14" ca="1">INDIRECT("'" &amp; H$2 &amp; "'!Y14")</f>
        <v>13</v>
      </c>
      <c r="I14" s="4" cm="1">
        <f t="array" aca="1" ref="I14" ca="1">INDIRECT("'" &amp; I$2 &amp; "'!Y14")</f>
        <v>8</v>
      </c>
      <c r="J14" s="4" cm="1">
        <f t="array" aca="1" ref="J14" ca="1">INDIRECT("'" &amp; J$2 &amp; "'!M14")</f>
        <v>3</v>
      </c>
      <c r="K14" s="4">
        <f t="shared" ca="1" si="0"/>
        <v>3</v>
      </c>
      <c r="L14" s="4">
        <f t="shared" ca="1" si="1"/>
        <v>3</v>
      </c>
      <c r="N14" s="16">
        <f t="shared" ca="1" si="2"/>
        <v>6.1111111111111107</v>
      </c>
      <c r="O14" s="16">
        <f t="shared" ca="1" si="3"/>
        <v>6.5</v>
      </c>
    </row>
    <row r="15" spans="1:15" ht="15" thickBot="1" x14ac:dyDescent="0.35">
      <c r="A15" s="7" t="s">
        <v>16</v>
      </c>
      <c r="B15" s="4" cm="1">
        <f t="array" aca="1" ref="B15" ca="1">INDIRECT("'" &amp; B$2 &amp; "'!Q15")</f>
        <v>11</v>
      </c>
      <c r="C15" s="4" cm="1">
        <f t="array" aca="1" ref="C15" ca="1">INDIRECT("'" &amp; C$2 &amp; "'!Q15")</f>
        <v>1</v>
      </c>
      <c r="D15" s="4" cm="1">
        <f t="array" aca="1" ref="D15" ca="1">INDIRECT("'" &amp; D$2 &amp; "'!O15")</f>
        <v>5</v>
      </c>
      <c r="E15" s="4" cm="1">
        <f t="array" aca="1" ref="E15" ca="1">INDIRECT("'" &amp; E$2 &amp; "'!O15")</f>
        <v>3</v>
      </c>
      <c r="F15" s="4" cm="1">
        <f t="array" aca="1" ref="F15" ca="1">INDIRECT("'" &amp; F$2 &amp; "'!M15")</f>
        <v>11</v>
      </c>
      <c r="G15" s="4" cm="1">
        <f t="array" aca="1" ref="G15" ca="1">INDIRECT("'" &amp; G$2 &amp; "'!M15")</f>
        <v>16</v>
      </c>
      <c r="H15" s="4" cm="1">
        <f t="array" aca="1" ref="H15" ca="1">INDIRECT("'" &amp; H$2 &amp; "'!Y15")</f>
        <v>3</v>
      </c>
      <c r="I15" s="4" cm="1">
        <f t="array" aca="1" ref="I15" ca="1">INDIRECT("'" &amp; I$2 &amp; "'!Y15")</f>
        <v>9</v>
      </c>
      <c r="J15" s="4" cm="1">
        <f t="array" aca="1" ref="J15" ca="1">INDIRECT("'" &amp; J$2 &amp; "'!M15")</f>
        <v>13</v>
      </c>
      <c r="K15" s="4">
        <f t="shared" ca="1" si="0"/>
        <v>8</v>
      </c>
      <c r="L15" s="4">
        <f t="shared" ca="1" si="1"/>
        <v>6</v>
      </c>
      <c r="N15" s="16">
        <f t="shared" ca="1" si="2"/>
        <v>8</v>
      </c>
      <c r="O15" s="16">
        <f t="shared" ca="1" si="3"/>
        <v>7.375</v>
      </c>
    </row>
    <row r="16" spans="1:15" ht="15" thickBot="1" x14ac:dyDescent="0.35">
      <c r="A16" s="7" t="s">
        <v>17</v>
      </c>
      <c r="B16" s="4" cm="1">
        <f t="array" aca="1" ref="B16" ca="1">INDIRECT("'" &amp; B$2 &amp; "'!Q16")</f>
        <v>8</v>
      </c>
      <c r="C16" s="4" cm="1">
        <f t="array" aca="1" ref="C16" ca="1">INDIRECT("'" &amp; C$2 &amp; "'!Q16")</f>
        <v>3</v>
      </c>
      <c r="D16" s="4" cm="1">
        <f t="array" aca="1" ref="D16" ca="1">INDIRECT("'" &amp; D$2 &amp; "'!O16")</f>
        <v>8</v>
      </c>
      <c r="E16" s="4" cm="1">
        <f t="array" aca="1" ref="E16" ca="1">INDIRECT("'" &amp; E$2 &amp; "'!O16")</f>
        <v>9</v>
      </c>
      <c r="F16" s="4" cm="1">
        <f t="array" aca="1" ref="F16" ca="1">INDIRECT("'" &amp; F$2 &amp; "'!M16")</f>
        <v>2</v>
      </c>
      <c r="G16" s="4" cm="1">
        <f t="array" aca="1" ref="G16" ca="1">INDIRECT("'" &amp; G$2 &amp; "'!M16")</f>
        <v>5</v>
      </c>
      <c r="H16" s="4" cm="1">
        <f t="array" aca="1" ref="H16" ca="1">INDIRECT("'" &amp; H$2 &amp; "'!Y16")</f>
        <v>7</v>
      </c>
      <c r="I16" s="4" cm="1">
        <f t="array" aca="1" ref="I16" ca="1">INDIRECT("'" &amp; I$2 &amp; "'!Y16")</f>
        <v>11</v>
      </c>
      <c r="J16" s="4" cm="1">
        <f t="array" aca="1" ref="J16" ca="1">INDIRECT("'" &amp; J$2 &amp; "'!M16")</f>
        <v>13</v>
      </c>
      <c r="K16" s="4">
        <f t="shared" ca="1" si="0"/>
        <v>7</v>
      </c>
      <c r="L16" s="4">
        <f t="shared" ca="1" si="1"/>
        <v>4</v>
      </c>
      <c r="N16" s="16">
        <f t="shared" ca="1" si="2"/>
        <v>7.333333333333333</v>
      </c>
      <c r="O16" s="16">
        <f t="shared" ca="1" si="3"/>
        <v>6.625</v>
      </c>
    </row>
    <row r="17" spans="1:15" ht="15" thickBot="1" x14ac:dyDescent="0.35">
      <c r="A17" s="7" t="s">
        <v>18</v>
      </c>
      <c r="B17" s="4" cm="1">
        <f t="array" aca="1" ref="B17" ca="1">INDIRECT("'" &amp; B$2 &amp; "'!Q17")</f>
        <v>1</v>
      </c>
      <c r="C17" s="4" cm="1">
        <f t="array" aca="1" ref="C17" ca="1">INDIRECT("'" &amp; C$2 &amp; "'!Q17")</f>
        <v>10</v>
      </c>
      <c r="D17" s="4" cm="1">
        <f t="array" aca="1" ref="D17" ca="1">INDIRECT("'" &amp; D$2 &amp; "'!O17")</f>
        <v>3</v>
      </c>
      <c r="E17" s="4" cm="1">
        <f t="array" aca="1" ref="E17" ca="1">INDIRECT("'" &amp; E$2 &amp; "'!O17")</f>
        <v>14</v>
      </c>
      <c r="F17" s="4" cm="1">
        <f t="array" aca="1" ref="F17" ca="1">INDIRECT("'" &amp; F$2 &amp; "'!M17")</f>
        <v>12</v>
      </c>
      <c r="G17" s="4" cm="1">
        <f t="array" aca="1" ref="G17" ca="1">INDIRECT("'" &amp; G$2 &amp; "'!M17")</f>
        <v>13</v>
      </c>
      <c r="H17" s="4" cm="1">
        <f t="array" aca="1" ref="H17" ca="1">INDIRECT("'" &amp; H$2 &amp; "'!Y17")</f>
        <v>8</v>
      </c>
      <c r="I17" s="4" cm="1">
        <f t="array" aca="1" ref="I17" ca="1">INDIRECT("'" &amp; I$2 &amp; "'!Y17")</f>
        <v>13</v>
      </c>
      <c r="J17" s="4" cm="1">
        <f t="array" aca="1" ref="J17" ca="1">INDIRECT("'" &amp; J$2 &amp; "'!M17")</f>
        <v>13</v>
      </c>
      <c r="K17" s="4">
        <f t="shared" ca="1" si="0"/>
        <v>13</v>
      </c>
      <c r="L17" s="4">
        <f t="shared" ca="1" si="1"/>
        <v>9</v>
      </c>
      <c r="N17" s="16">
        <f t="shared" ca="1" si="2"/>
        <v>9.6666666666666661</v>
      </c>
      <c r="O17" s="16">
        <f t="shared" ca="1" si="3"/>
        <v>9.25</v>
      </c>
    </row>
    <row r="18" spans="1:15" ht="15" thickBot="1" x14ac:dyDescent="0.35">
      <c r="A18" s="7" t="s">
        <v>19</v>
      </c>
      <c r="B18" s="4" cm="1">
        <f t="array" aca="1" ref="B18" ca="1">INDIRECT("'" &amp; B$2 &amp; "'!Q18")</f>
        <v>2</v>
      </c>
      <c r="C18" s="4" cm="1">
        <f t="array" aca="1" ref="C18" ca="1">INDIRECT("'" &amp; C$2 &amp; "'!Q18")</f>
        <v>5</v>
      </c>
      <c r="D18" s="4" cm="1">
        <f t="array" aca="1" ref="D18" ca="1">INDIRECT("'" &amp; D$2 &amp; "'!O18")</f>
        <v>1</v>
      </c>
      <c r="E18" s="4" cm="1">
        <f t="array" aca="1" ref="E18" ca="1">INDIRECT("'" &amp; E$2 &amp; "'!O18")</f>
        <v>2</v>
      </c>
      <c r="F18" s="4" cm="1">
        <f t="array" aca="1" ref="F18" ca="1">INDIRECT("'" &amp; F$2 &amp; "'!M18")</f>
        <v>1</v>
      </c>
      <c r="G18" s="4" cm="1">
        <f t="array" aca="1" ref="G18" ca="1">INDIRECT("'" &amp; G$2 &amp; "'!M18")</f>
        <v>1</v>
      </c>
      <c r="H18" s="4" cm="1">
        <f t="array" aca="1" ref="H18" ca="1">INDIRECT("'" &amp; H$2 &amp; "'!Y18")</f>
        <v>12</v>
      </c>
      <c r="I18" s="4" cm="1">
        <f t="array" aca="1" ref="I18" ca="1">INDIRECT("'" &amp; I$2 &amp; "'!Y18")</f>
        <v>12</v>
      </c>
      <c r="J18" s="4" cm="1">
        <f t="array" aca="1" ref="J18" ca="1">INDIRECT("'" &amp; J$2 &amp; "'!M18")</f>
        <v>13</v>
      </c>
      <c r="K18" s="4">
        <f t="shared" ca="1" si="0"/>
        <v>2</v>
      </c>
      <c r="L18" s="4">
        <f t="shared" ca="1" si="1"/>
        <v>1</v>
      </c>
      <c r="N18" s="16">
        <f t="shared" ca="1" si="2"/>
        <v>5.4444444444444446</v>
      </c>
      <c r="O18" s="16">
        <f t="shared" ca="1" si="3"/>
        <v>4.5</v>
      </c>
    </row>
    <row r="22" spans="1:15" ht="15" thickBot="1" x14ac:dyDescent="0.35">
      <c r="A22" s="17" t="s">
        <v>73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</row>
    <row r="23" spans="1:15" ht="15" thickBot="1" x14ac:dyDescent="0.35">
      <c r="A23" s="1" t="s">
        <v>69</v>
      </c>
      <c r="B23" s="2" t="s">
        <v>57</v>
      </c>
      <c r="C23" s="2" t="s">
        <v>58</v>
      </c>
      <c r="D23" s="2" t="s">
        <v>59</v>
      </c>
      <c r="E23" s="2" t="s">
        <v>65</v>
      </c>
      <c r="F23" s="2" t="s">
        <v>60</v>
      </c>
      <c r="G23" s="1" t="s">
        <v>61</v>
      </c>
      <c r="H23" s="2" t="s">
        <v>62</v>
      </c>
      <c r="I23" s="2" t="s">
        <v>66</v>
      </c>
      <c r="J23" s="2" t="s">
        <v>63</v>
      </c>
      <c r="K23" s="2" t="s">
        <v>2</v>
      </c>
      <c r="L23" s="2" t="s">
        <v>64</v>
      </c>
      <c r="N23" s="15"/>
      <c r="O23" s="15"/>
    </row>
    <row r="24" spans="1:15" ht="15" thickBot="1" x14ac:dyDescent="0.35">
      <c r="A24" s="7" t="s">
        <v>70</v>
      </c>
      <c r="B24" s="6">
        <f ca="1">AVERAGE(B3:B12)</f>
        <v>10.9</v>
      </c>
      <c r="C24" s="6">
        <f t="shared" ref="C24:L24" ca="1" si="4">AVERAGE(C3:C12)</f>
        <v>11.4</v>
      </c>
      <c r="D24" s="6">
        <f t="shared" ca="1" si="4"/>
        <v>11.2</v>
      </c>
      <c r="E24" s="6">
        <f t="shared" ca="1" si="4"/>
        <v>10.199999999999999</v>
      </c>
      <c r="F24" s="6">
        <f t="shared" ca="1" si="4"/>
        <v>8.9</v>
      </c>
      <c r="G24" s="6">
        <f t="shared" ca="1" si="4"/>
        <v>8.1</v>
      </c>
      <c r="H24" s="6">
        <f t="shared" ca="1" si="4"/>
        <v>8.5</v>
      </c>
      <c r="I24" s="6">
        <f t="shared" ca="1" si="4"/>
        <v>8.1</v>
      </c>
      <c r="J24" s="6">
        <f t="shared" ca="1" si="4"/>
        <v>2.6</v>
      </c>
      <c r="K24" s="6">
        <f t="shared" ca="1" si="4"/>
        <v>10.1</v>
      </c>
      <c r="L24" s="6">
        <f t="shared" ca="1" si="4"/>
        <v>11</v>
      </c>
      <c r="N24" s="16"/>
      <c r="O24" s="16"/>
    </row>
    <row r="25" spans="1:15" ht="15" thickBot="1" x14ac:dyDescent="0.35">
      <c r="A25" s="7" t="s">
        <v>74</v>
      </c>
      <c r="B25" s="6">
        <f ca="1">AVERAGE(B6:B12)</f>
        <v>8.7142857142857135</v>
      </c>
      <c r="C25" s="6">
        <f t="shared" ref="C25:L25" ca="1" si="5">AVERAGE(C6:C12)</f>
        <v>9.4285714285714288</v>
      </c>
      <c r="D25" s="6">
        <f t="shared" ca="1" si="5"/>
        <v>12.285714285714286</v>
      </c>
      <c r="E25" s="6">
        <f t="shared" ca="1" si="5"/>
        <v>11.857142857142858</v>
      </c>
      <c r="F25" s="6">
        <f t="shared" ca="1" si="5"/>
        <v>10.285714285714286</v>
      </c>
      <c r="G25" s="6">
        <f t="shared" ca="1" si="5"/>
        <v>10.142857142857142</v>
      </c>
      <c r="H25" s="6">
        <f t="shared" ca="1" si="5"/>
        <v>5.2857142857142856</v>
      </c>
      <c r="I25" s="6">
        <f t="shared" ca="1" si="5"/>
        <v>4.7142857142857144</v>
      </c>
      <c r="J25" s="6">
        <f t="shared" ca="1" si="5"/>
        <v>2.4285714285714284</v>
      </c>
      <c r="K25" s="6">
        <f t="shared" ca="1" si="5"/>
        <v>8.7142857142857135</v>
      </c>
      <c r="L25" s="6">
        <f t="shared" ca="1" si="5"/>
        <v>9.8571428571428577</v>
      </c>
      <c r="N25" s="16"/>
      <c r="O25" s="16"/>
    </row>
    <row r="26" spans="1:15" ht="15" thickBot="1" x14ac:dyDescent="0.35">
      <c r="A26" s="7" t="s">
        <v>71</v>
      </c>
      <c r="B26" s="6">
        <f ca="1">AVERAGE(B13:B15)</f>
        <v>6</v>
      </c>
      <c r="C26" s="6">
        <f t="shared" ref="C26:L26" ca="1" si="6">AVERAGE(C13:C15)</f>
        <v>2.3333333333333335</v>
      </c>
      <c r="D26" s="6">
        <f t="shared" ca="1" si="6"/>
        <v>3.6666666666666665</v>
      </c>
      <c r="E26" s="6">
        <f t="shared" ca="1" si="6"/>
        <v>2.6666666666666665</v>
      </c>
      <c r="F26" s="6">
        <f t="shared" ca="1" si="6"/>
        <v>9.6666666666666661</v>
      </c>
      <c r="G26" s="6">
        <f t="shared" ca="1" si="6"/>
        <v>11</v>
      </c>
      <c r="H26" s="6">
        <f t="shared" ca="1" si="6"/>
        <v>9</v>
      </c>
      <c r="I26" s="6">
        <f t="shared" ca="1" si="6"/>
        <v>7</v>
      </c>
      <c r="J26" s="6">
        <f t="shared" ca="1" si="6"/>
        <v>6.333333333333333</v>
      </c>
      <c r="K26" s="6">
        <f t="shared" ca="1" si="6"/>
        <v>4</v>
      </c>
      <c r="L26" s="6">
        <f t="shared" ca="1" si="6"/>
        <v>3.6666666666666665</v>
      </c>
      <c r="N26" s="16"/>
      <c r="O26" s="16"/>
    </row>
    <row r="27" spans="1:15" ht="15" thickBot="1" x14ac:dyDescent="0.35">
      <c r="A27" s="7" t="s">
        <v>72</v>
      </c>
      <c r="B27" s="6">
        <f ca="1">AVERAGE(B16:B18)</f>
        <v>3.6666666666666665</v>
      </c>
      <c r="C27" s="6">
        <f t="shared" ref="C27:L27" ca="1" si="7">AVERAGE(C16:C18)</f>
        <v>6</v>
      </c>
      <c r="D27" s="6">
        <f t="shared" ca="1" si="7"/>
        <v>4</v>
      </c>
      <c r="E27" s="6">
        <f t="shared" ca="1" si="7"/>
        <v>8.3333333333333339</v>
      </c>
      <c r="F27" s="6">
        <f t="shared" ca="1" si="7"/>
        <v>5</v>
      </c>
      <c r="G27" s="6">
        <f t="shared" ca="1" si="7"/>
        <v>6.333333333333333</v>
      </c>
      <c r="H27" s="6">
        <f t="shared" ca="1" si="7"/>
        <v>9</v>
      </c>
      <c r="I27" s="6">
        <f t="shared" ca="1" si="7"/>
        <v>12</v>
      </c>
      <c r="J27" s="6">
        <f t="shared" ca="1" si="7"/>
        <v>13</v>
      </c>
      <c r="K27" s="6">
        <f t="shared" ca="1" si="7"/>
        <v>7.333333333333333</v>
      </c>
      <c r="L27" s="6">
        <f t="shared" ca="1" si="7"/>
        <v>4.666666666666667</v>
      </c>
      <c r="N27" s="16"/>
      <c r="O27" s="16"/>
    </row>
    <row r="31" spans="1:15" ht="15" thickBot="1" x14ac:dyDescent="0.35">
      <c r="A31" s="17" t="s">
        <v>68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</row>
    <row r="32" spans="1:15" ht="15" thickBot="1" x14ac:dyDescent="0.35">
      <c r="A32" s="1" t="s">
        <v>69</v>
      </c>
      <c r="B32" s="2" t="s">
        <v>57</v>
      </c>
      <c r="C32" s="2" t="s">
        <v>58</v>
      </c>
      <c r="D32" s="2" t="s">
        <v>59</v>
      </c>
      <c r="E32" s="2" t="s">
        <v>65</v>
      </c>
      <c r="F32" s="2" t="s">
        <v>60</v>
      </c>
      <c r="G32" s="1" t="s">
        <v>61</v>
      </c>
      <c r="H32" s="2" t="s">
        <v>62</v>
      </c>
      <c r="I32" s="2" t="s">
        <v>66</v>
      </c>
      <c r="J32" s="2" t="s">
        <v>63</v>
      </c>
      <c r="K32" s="2" t="s">
        <v>2</v>
      </c>
      <c r="L32" s="2" t="s">
        <v>64</v>
      </c>
    </row>
    <row r="33" spans="1:12" ht="15" thickBot="1" x14ac:dyDescent="0.35">
      <c r="A33" s="7" t="s">
        <v>70</v>
      </c>
      <c r="B33" s="4">
        <f ca="1">RANK(B24,B$24:B$27,1)</f>
        <v>4</v>
      </c>
      <c r="C33" s="4">
        <f ca="1">RANK(C24,C$24:C$27,1)</f>
        <v>4</v>
      </c>
      <c r="D33" s="4">
        <f t="shared" ref="D33:L33" ca="1" si="8">RANK(D24,D$24:D$27,1)</f>
        <v>3</v>
      </c>
      <c r="E33" s="4">
        <f t="shared" ca="1" si="8"/>
        <v>3</v>
      </c>
      <c r="F33" s="4">
        <f t="shared" ca="1" si="8"/>
        <v>2</v>
      </c>
      <c r="G33" s="4">
        <f t="shared" ca="1" si="8"/>
        <v>2</v>
      </c>
      <c r="H33" s="4">
        <f t="shared" ca="1" si="8"/>
        <v>2</v>
      </c>
      <c r="I33" s="4">
        <f t="shared" ca="1" si="8"/>
        <v>3</v>
      </c>
      <c r="J33" s="4">
        <f t="shared" ca="1" si="8"/>
        <v>2</v>
      </c>
      <c r="K33" s="4">
        <f t="shared" ca="1" si="8"/>
        <v>4</v>
      </c>
      <c r="L33" s="4">
        <f t="shared" ca="1" si="8"/>
        <v>4</v>
      </c>
    </row>
    <row r="34" spans="1:12" ht="15" thickBot="1" x14ac:dyDescent="0.35">
      <c r="A34" s="7" t="s">
        <v>74</v>
      </c>
      <c r="B34" s="4">
        <f ca="1">RANK(B25,B$24:B$27,1)</f>
        <v>3</v>
      </c>
      <c r="C34" s="4">
        <f t="shared" ref="C34:L34" ca="1" si="9">RANK(C25,C$24:C$27,1)</f>
        <v>3</v>
      </c>
      <c r="D34" s="4">
        <f t="shared" ca="1" si="9"/>
        <v>4</v>
      </c>
      <c r="E34" s="4">
        <f t="shared" ca="1" si="9"/>
        <v>4</v>
      </c>
      <c r="F34" s="4">
        <f t="shared" ca="1" si="9"/>
        <v>4</v>
      </c>
      <c r="G34" s="4">
        <f t="shared" ca="1" si="9"/>
        <v>3</v>
      </c>
      <c r="H34" s="4">
        <f t="shared" ca="1" si="9"/>
        <v>1</v>
      </c>
      <c r="I34" s="4">
        <f t="shared" ca="1" si="9"/>
        <v>1</v>
      </c>
      <c r="J34" s="4">
        <f t="shared" ca="1" si="9"/>
        <v>1</v>
      </c>
      <c r="K34" s="4">
        <f t="shared" ca="1" si="9"/>
        <v>3</v>
      </c>
      <c r="L34" s="4">
        <f t="shared" ca="1" si="9"/>
        <v>3</v>
      </c>
    </row>
    <row r="35" spans="1:12" ht="15" thickBot="1" x14ac:dyDescent="0.35">
      <c r="A35" s="7" t="s">
        <v>71</v>
      </c>
      <c r="B35" s="4">
        <f ca="1">RANK(B26,B$24:B$27,1)</f>
        <v>2</v>
      </c>
      <c r="C35" s="4">
        <f t="shared" ref="C35:L35" ca="1" si="10">RANK(C26,C$24:C$27,1)</f>
        <v>1</v>
      </c>
      <c r="D35" s="4">
        <f t="shared" ca="1" si="10"/>
        <v>1</v>
      </c>
      <c r="E35" s="4">
        <f t="shared" ca="1" si="10"/>
        <v>1</v>
      </c>
      <c r="F35" s="4">
        <f t="shared" ca="1" si="10"/>
        <v>3</v>
      </c>
      <c r="G35" s="4">
        <f t="shared" ca="1" si="10"/>
        <v>4</v>
      </c>
      <c r="H35" s="4">
        <f t="shared" ca="1" si="10"/>
        <v>3</v>
      </c>
      <c r="I35" s="4">
        <f t="shared" ca="1" si="10"/>
        <v>2</v>
      </c>
      <c r="J35" s="4">
        <f t="shared" ca="1" si="10"/>
        <v>3</v>
      </c>
      <c r="K35" s="4">
        <f t="shared" ca="1" si="10"/>
        <v>1</v>
      </c>
      <c r="L35" s="4">
        <f t="shared" ca="1" si="10"/>
        <v>1</v>
      </c>
    </row>
    <row r="36" spans="1:12" ht="15" thickBot="1" x14ac:dyDescent="0.35">
      <c r="A36" s="7" t="s">
        <v>72</v>
      </c>
      <c r="B36" s="4">
        <f ca="1">RANK(B27,B$24:B$27,1)</f>
        <v>1</v>
      </c>
      <c r="C36" s="4">
        <f t="shared" ref="C36:L36" ca="1" si="11">RANK(C27,C$24:C$27,1)</f>
        <v>2</v>
      </c>
      <c r="D36" s="4">
        <f t="shared" ca="1" si="11"/>
        <v>2</v>
      </c>
      <c r="E36" s="4">
        <f t="shared" ca="1" si="11"/>
        <v>2</v>
      </c>
      <c r="F36" s="4">
        <f t="shared" ca="1" si="11"/>
        <v>1</v>
      </c>
      <c r="G36" s="4">
        <f t="shared" ca="1" si="11"/>
        <v>1</v>
      </c>
      <c r="H36" s="4">
        <f t="shared" ca="1" si="11"/>
        <v>3</v>
      </c>
      <c r="I36" s="4">
        <f t="shared" ca="1" si="11"/>
        <v>4</v>
      </c>
      <c r="J36" s="4">
        <f t="shared" ca="1" si="11"/>
        <v>4</v>
      </c>
      <c r="K36" s="4">
        <f t="shared" ca="1" si="11"/>
        <v>2</v>
      </c>
      <c r="L36" s="4">
        <f t="shared" ca="1" si="11"/>
        <v>2</v>
      </c>
    </row>
  </sheetData>
  <mergeCells count="3">
    <mergeCell ref="A1:L1"/>
    <mergeCell ref="A22:L22"/>
    <mergeCell ref="A31:L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10</vt:i4>
      </vt:variant>
    </vt:vector>
  </HeadingPairs>
  <TitlesOfParts>
    <vt:vector size="10" baseType="lpstr">
      <vt:lpstr>Obc.</vt:lpstr>
      <vt:lpstr>Skok.</vt:lpstr>
      <vt:lpstr>Alg.</vt:lpstr>
      <vt:lpstr>Alg. odch.</vt:lpstr>
      <vt:lpstr>Bazy</vt:lpstr>
      <vt:lpstr>Bazy odch.</vt:lpstr>
      <vt:lpstr>Lok.</vt:lpstr>
      <vt:lpstr>Lok. odch.</vt:lpstr>
      <vt:lpstr>Komfort pracy</vt:lpstr>
      <vt:lpstr>Zbiorcza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Rafcio</dc:creator>
  <cp:lastModifiedBy>Rafał Wronowski</cp:lastModifiedBy>
  <dcterms:created xsi:type="dcterms:W3CDTF">2015-06-05T18:17:20Z</dcterms:created>
  <dcterms:modified xsi:type="dcterms:W3CDTF">2026-06-04T00:15:01Z</dcterms:modified>
</cp:coreProperties>
</file>