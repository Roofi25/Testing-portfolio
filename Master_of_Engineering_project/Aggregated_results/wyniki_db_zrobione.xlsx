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Prace_dyplomowe_studia\Praca_Magisterska\Wyniki\"/>
    </mc:Choice>
  </mc:AlternateContent>
  <xr:revisionPtr revIDLastSave="0" documentId="13_ncr:1_{C00CB35E-3FF9-4996-ABAE-C6F329929695}" xr6:coauthVersionLast="47" xr6:coauthVersionMax="47" xr10:uidLastSave="{00000000-0000-0000-0000-000000000000}"/>
  <bookViews>
    <workbookView xWindow="-108" yWindow="-108" windowWidth="23256" windowHeight="12456" firstSheet="8" activeTab="16" xr2:uid="{00000000-000D-0000-FFFF-FFFF00000000}"/>
  </bookViews>
  <sheets>
    <sheet name="infinityfree" sheetId="1" r:id="rId1"/>
    <sheet name="aeonfree" sheetId="2" r:id="rId2"/>
    <sheet name="tinkerhost" sheetId="3" r:id="rId3"/>
    <sheet name="x10hosting" sheetId="4" r:id="rId4"/>
    <sheet name="googiehost" sheetId="5" r:id="rId5"/>
    <sheet name="freehosting.it" sheetId="6" r:id="rId6"/>
    <sheet name="atspace" sheetId="7" r:id="rId7"/>
    <sheet name="awardspace" sheetId="8" r:id="rId8"/>
    <sheet name="freehostingeu" sheetId="9" r:id="rId9"/>
    <sheet name="freehostingnoads" sheetId="10" r:id="rId10"/>
    <sheet name="hidencloud" sheetId="11" r:id="rId11"/>
    <sheet name="replit" sheetId="12" r:id="rId12"/>
    <sheet name="vercel" sheetId="13" r:id="rId13"/>
    <sheet name="render" sheetId="14" r:id="rId14"/>
    <sheet name="alwaysdata" sheetId="15" r:id="rId15"/>
    <sheet name="leapcell" sheetId="16" r:id="rId16"/>
    <sheet name="zbiorcz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6" l="1"/>
  <c r="K4" i="16"/>
  <c r="J4" i="16"/>
  <c r="I4" i="16"/>
  <c r="L3" i="16"/>
  <c r="K3" i="16"/>
  <c r="J3" i="16"/>
  <c r="I3" i="16"/>
  <c r="L2" i="16"/>
  <c r="K2" i="16"/>
  <c r="J2" i="16"/>
  <c r="I2" i="16"/>
  <c r="L4" i="15"/>
  <c r="K4" i="15"/>
  <c r="J4" i="15"/>
  <c r="I4" i="15"/>
  <c r="L3" i="15"/>
  <c r="K3" i="15"/>
  <c r="J3" i="15"/>
  <c r="I3" i="15"/>
  <c r="L2" i="15"/>
  <c r="K2" i="15"/>
  <c r="J2" i="15"/>
  <c r="I2" i="15"/>
  <c r="L4" i="14"/>
  <c r="K4" i="14"/>
  <c r="J4" i="14"/>
  <c r="I4" i="14"/>
  <c r="L3" i="14"/>
  <c r="K3" i="14"/>
  <c r="J3" i="14"/>
  <c r="I3" i="14"/>
  <c r="L2" i="14"/>
  <c r="K2" i="14"/>
  <c r="J2" i="14"/>
  <c r="I2" i="14"/>
  <c r="L4" i="13"/>
  <c r="K4" i="13"/>
  <c r="J4" i="13"/>
  <c r="I4" i="13"/>
  <c r="L3" i="13"/>
  <c r="K3" i="13"/>
  <c r="J3" i="13"/>
  <c r="I3" i="13"/>
  <c r="L2" i="13"/>
  <c r="K2" i="13"/>
  <c r="J2" i="13"/>
  <c r="I2" i="13"/>
  <c r="L4" i="12"/>
  <c r="K4" i="12"/>
  <c r="J4" i="12"/>
  <c r="I4" i="12"/>
  <c r="L3" i="12"/>
  <c r="K3" i="12"/>
  <c r="J3" i="12"/>
  <c r="I3" i="12"/>
  <c r="L2" i="12"/>
  <c r="K2" i="12"/>
  <c r="J2" i="12"/>
  <c r="I2" i="12"/>
  <c r="L4" i="11"/>
  <c r="K4" i="11"/>
  <c r="J4" i="11"/>
  <c r="I4" i="11"/>
  <c r="L3" i="11"/>
  <c r="K3" i="11"/>
  <c r="J3" i="11"/>
  <c r="I3" i="11"/>
  <c r="L2" i="11"/>
  <c r="K2" i="11"/>
  <c r="J2" i="11"/>
  <c r="I2" i="11"/>
  <c r="L4" i="8"/>
  <c r="K4" i="8"/>
  <c r="J4" i="8"/>
  <c r="I4" i="8"/>
  <c r="L3" i="8"/>
  <c r="K3" i="8"/>
  <c r="J3" i="8"/>
  <c r="I3" i="8"/>
  <c r="L2" i="8"/>
  <c r="K2" i="8"/>
  <c r="J2" i="8"/>
  <c r="I2" i="8"/>
  <c r="L4" i="10"/>
  <c r="K4" i="10"/>
  <c r="J4" i="10"/>
  <c r="I4" i="10"/>
  <c r="L3" i="10"/>
  <c r="K3" i="10"/>
  <c r="J3" i="10"/>
  <c r="I3" i="10"/>
  <c r="L2" i="10"/>
  <c r="K2" i="10"/>
  <c r="J2" i="10"/>
  <c r="I2" i="10"/>
  <c r="L4" i="9"/>
  <c r="K4" i="9"/>
  <c r="J4" i="9"/>
  <c r="I4" i="9"/>
  <c r="L3" i="9"/>
  <c r="K3" i="9"/>
  <c r="J3" i="9"/>
  <c r="I3" i="9"/>
  <c r="L2" i="9"/>
  <c r="K2" i="9"/>
  <c r="J2" i="9"/>
  <c r="I2" i="9"/>
  <c r="L4" i="7"/>
  <c r="K4" i="7"/>
  <c r="J4" i="7"/>
  <c r="I4" i="7"/>
  <c r="L3" i="7"/>
  <c r="K3" i="7"/>
  <c r="J3" i="7"/>
  <c r="I3" i="7"/>
  <c r="L2" i="7"/>
  <c r="K2" i="7"/>
  <c r="J2" i="7"/>
  <c r="I2" i="7"/>
  <c r="L4" i="6"/>
  <c r="K4" i="6"/>
  <c r="J4" i="6"/>
  <c r="I4" i="6"/>
  <c r="L3" i="6"/>
  <c r="K3" i="6"/>
  <c r="J3" i="6"/>
  <c r="I3" i="6"/>
  <c r="L2" i="6"/>
  <c r="K2" i="6"/>
  <c r="J2" i="6"/>
  <c r="I2" i="6"/>
  <c r="L4" i="5"/>
  <c r="K4" i="5"/>
  <c r="J4" i="5"/>
  <c r="I4" i="5"/>
  <c r="L3" i="5"/>
  <c r="K3" i="5"/>
  <c r="J3" i="5"/>
  <c r="I3" i="5"/>
  <c r="L2" i="5"/>
  <c r="K2" i="5"/>
  <c r="J2" i="5"/>
  <c r="I2" i="5"/>
  <c r="L4" i="4"/>
  <c r="K4" i="4"/>
  <c r="J4" i="4"/>
  <c r="I4" i="4"/>
  <c r="L3" i="4"/>
  <c r="K3" i="4"/>
  <c r="J3" i="4"/>
  <c r="I3" i="4"/>
  <c r="L2" i="4"/>
  <c r="K2" i="4"/>
  <c r="J2" i="4"/>
  <c r="I2" i="4"/>
  <c r="L4" i="3"/>
  <c r="K4" i="3"/>
  <c r="J4" i="3"/>
  <c r="I4" i="3"/>
  <c r="L3" i="3"/>
  <c r="K3" i="3"/>
  <c r="J3" i="3"/>
  <c r="I3" i="3"/>
  <c r="L2" i="3"/>
  <c r="K2" i="3"/>
  <c r="J2" i="3"/>
  <c r="I2" i="3"/>
  <c r="L4" i="2"/>
  <c r="K4" i="2"/>
  <c r="J4" i="2"/>
  <c r="I4" i="2"/>
  <c r="L3" i="2"/>
  <c r="K3" i="2"/>
  <c r="J3" i="2"/>
  <c r="I3" i="2"/>
  <c r="L2" i="2"/>
  <c r="K2" i="2"/>
  <c r="J2" i="2"/>
  <c r="I2" i="2"/>
  <c r="J4" i="1"/>
  <c r="K4" i="1"/>
  <c r="L4" i="1"/>
  <c r="I4" i="1"/>
  <c r="J3" i="1"/>
  <c r="K3" i="1"/>
  <c r="L3" i="1"/>
  <c r="I3" i="1"/>
  <c r="L2" i="1"/>
  <c r="K2" i="1"/>
  <c r="J2" i="1"/>
  <c r="I2" i="1"/>
  <c r="B32" i="17" a="1"/>
  <c r="B26" i="17" a="1"/>
  <c r="D49" i="17" a="1"/>
  <c r="C11" i="17" a="1"/>
  <c r="B4" i="17" a="1"/>
  <c r="E26" i="17" a="1"/>
  <c r="C30" i="17" a="1"/>
  <c r="D11" i="17" a="1"/>
  <c r="E14" i="17" a="1"/>
  <c r="B34" i="17" a="1"/>
  <c r="D6" i="17" a="1"/>
  <c r="C34" i="17" a="1"/>
  <c r="C32" i="17" a="1"/>
  <c r="E23" i="17" a="1"/>
  <c r="C8" i="17" a="1"/>
  <c r="C54" i="17" a="1"/>
  <c r="D33" i="17" a="1"/>
  <c r="D34" i="17" a="1"/>
  <c r="E18" i="17" a="1"/>
  <c r="E9" i="17" a="1"/>
  <c r="E46" i="17" a="1"/>
  <c r="B56" i="17" a="1"/>
  <c r="B50" i="17" a="1"/>
  <c r="E16" i="17" a="1"/>
  <c r="B15" i="17" a="1"/>
  <c r="C48" i="17" a="1"/>
  <c r="D35" i="17" a="1"/>
  <c r="B5" i="17" a="1"/>
  <c r="B37" i="17" a="1"/>
  <c r="C36" i="17" a="1"/>
  <c r="C46" i="17" a="1"/>
  <c r="C55" i="17" a="1"/>
  <c r="D46" i="17" a="1"/>
  <c r="E13" i="17" a="1"/>
  <c r="E25" i="17" a="1"/>
  <c r="D28" i="17" a="1"/>
  <c r="B9" i="17" a="1"/>
  <c r="B24" i="17" a="1"/>
  <c r="B49" i="17" a="1"/>
  <c r="B29" i="17" a="1"/>
  <c r="E12" i="17" a="1"/>
  <c r="E34" i="17" a="1"/>
  <c r="E30" i="17" a="1"/>
  <c r="C29" i="17" a="1"/>
  <c r="B45" i="17" a="1"/>
  <c r="E52" i="17" a="1"/>
  <c r="E7" i="17" a="1"/>
  <c r="D50" i="17" a="1"/>
  <c r="B22" i="17" a="1"/>
  <c r="D41" i="17" a="1"/>
  <c r="C13" i="17" a="1"/>
  <c r="B18" i="17" a="1"/>
  <c r="B3" i="17" a="1"/>
  <c r="D22" i="17" a="1"/>
  <c r="C18" i="17" a="1"/>
  <c r="B10" i="17" a="1"/>
  <c r="B43" i="17" a="1"/>
  <c r="C10" i="17" a="1"/>
  <c r="C43" i="17" a="1"/>
  <c r="E45" i="17" a="1"/>
  <c r="E44" i="17" a="1"/>
  <c r="D47" i="17" a="1"/>
  <c r="C50" i="17" a="1"/>
  <c r="D12" i="17" a="1"/>
  <c r="C22" i="17" a="1"/>
  <c r="E48" i="17" a="1"/>
  <c r="D14" i="17" a="1"/>
  <c r="E47" i="17" a="1"/>
  <c r="B12" i="17" a="1"/>
  <c r="B51" i="17" a="1"/>
  <c r="D26" i="17" a="1"/>
  <c r="C7" i="17" a="1"/>
  <c r="B25" i="17" a="1"/>
  <c r="D9" i="17" a="1"/>
  <c r="C33" i="17" a="1"/>
  <c r="D55" i="17" a="1"/>
  <c r="C6" i="17" a="1"/>
  <c r="C16" i="17" a="1"/>
  <c r="D48" i="17" a="1"/>
  <c r="E11" i="17" a="1"/>
  <c r="E32" i="17" a="1"/>
  <c r="B23" i="17" a="1"/>
  <c r="E31" i="17" a="1"/>
  <c r="D4" i="17" a="1"/>
  <c r="D32" i="17" a="1"/>
  <c r="C26" i="17" a="1"/>
  <c r="E55" i="17" a="1"/>
  <c r="D10" i="17" a="1"/>
  <c r="D54" i="17" a="1"/>
  <c r="D56" i="17" a="1"/>
  <c r="C51" i="17" a="1"/>
  <c r="C45" i="17" a="1"/>
  <c r="D45" i="17" a="1"/>
  <c r="E50" i="17" a="1"/>
  <c r="E4" i="17" a="1"/>
  <c r="B14" i="17" a="1"/>
  <c r="B44" i="17" a="1"/>
  <c r="E56" i="17" a="1"/>
  <c r="C28" i="17" a="1"/>
  <c r="C56" i="17" a="1"/>
  <c r="D42" i="17" a="1"/>
  <c r="D24" i="17" a="1"/>
  <c r="E37" i="17" a="1"/>
  <c r="E49" i="17" a="1"/>
  <c r="D51" i="17" a="1"/>
  <c r="B52" i="17" a="1"/>
  <c r="E8" i="17" a="1"/>
  <c r="D30" i="17" a="1"/>
  <c r="B42" i="17" a="1"/>
  <c r="C53" i="17" a="1"/>
  <c r="D43" i="17" a="1"/>
  <c r="D29" i="17" a="1"/>
  <c r="C17" i="17" a="1"/>
  <c r="C15" i="17" a="1"/>
  <c r="B33" i="17" a="1"/>
  <c r="B7" i="17" a="1"/>
  <c r="D37" i="17" a="1"/>
  <c r="B36" i="17" a="1"/>
  <c r="B8" i="17" a="1"/>
  <c r="D17" i="17" a="1"/>
  <c r="E43" i="17" a="1"/>
  <c r="C25" i="17" a="1"/>
  <c r="E29" i="17" a="1"/>
  <c r="E10" i="17" a="1"/>
  <c r="C42" i="17" a="1"/>
  <c r="C52" i="17" a="1"/>
  <c r="D31" i="17" a="1"/>
  <c r="B27" i="17" a="1"/>
  <c r="C9" i="17" a="1"/>
  <c r="C4" i="17" a="1"/>
  <c r="E53" i="17" a="1"/>
  <c r="B28" i="17" a="1"/>
  <c r="B13" i="17" a="1"/>
  <c r="B41" i="17" a="1"/>
  <c r="C14" i="17" a="1"/>
  <c r="B30" i="17" a="1"/>
  <c r="C47" i="17" a="1"/>
  <c r="B11" i="17" a="1"/>
  <c r="C24" i="17" a="1"/>
  <c r="D5" i="17" a="1"/>
  <c r="D36" i="17" a="1"/>
  <c r="D13" i="17" a="1"/>
  <c r="B54" i="17" a="1"/>
  <c r="C41" i="17" a="1"/>
  <c r="B55" i="17" a="1"/>
  <c r="E42" i="17" a="1"/>
  <c r="C23" i="17" a="1"/>
  <c r="E35" i="17" a="1"/>
  <c r="C37" i="17" a="1"/>
  <c r="D52" i="17" a="1"/>
  <c r="D53" i="17" a="1"/>
  <c r="E3" i="17" a="1"/>
  <c r="D25" i="17" a="1"/>
  <c r="E6" i="17" a="1"/>
  <c r="E28" i="17" a="1"/>
  <c r="B53" i="17" a="1"/>
  <c r="D15" i="17" a="1"/>
  <c r="E15" i="17" a="1"/>
  <c r="D8" i="17" a="1"/>
  <c r="C27" i="17" a="1"/>
  <c r="B31" i="17" a="1"/>
  <c r="D16" i="17" a="1"/>
  <c r="E24" i="17" a="1"/>
  <c r="D7" i="17" a="1"/>
  <c r="E41" i="17" a="1"/>
  <c r="C3" i="17" a="1"/>
  <c r="B46" i="17" a="1"/>
  <c r="D3" i="17" a="1"/>
  <c r="E27" i="17" a="1"/>
  <c r="E17" i="17" a="1"/>
  <c r="B16" i="17" a="1"/>
  <c r="C49" i="17" a="1"/>
  <c r="B48" i="17" a="1"/>
  <c r="C12" i="17" a="1"/>
  <c r="B6" i="17" a="1"/>
  <c r="D27" i="17" a="1"/>
  <c r="E51" i="17" a="1"/>
  <c r="C35" i="17" a="1"/>
  <c r="C31" i="17" a="1"/>
  <c r="C44" i="17" a="1"/>
  <c r="E33" i="17" a="1"/>
  <c r="D23" i="17" a="1"/>
  <c r="B47" i="17" a="1"/>
  <c r="E54" i="17" a="1"/>
  <c r="E36" i="17" a="1"/>
  <c r="C5" i="17" a="1"/>
  <c r="E22" i="17" a="1"/>
  <c r="D18" i="17" a="1"/>
  <c r="B17" i="17" a="1"/>
  <c r="E5" i="17" a="1"/>
  <c r="D44" i="17" a="1"/>
  <c r="B35" i="17" a="1"/>
  <c r="E49" i="17" l="1"/>
  <c r="E56" i="17"/>
  <c r="E44" i="17"/>
  <c r="E55" i="17"/>
  <c r="E43" i="17"/>
  <c r="E53" i="17"/>
  <c r="E48" i="17"/>
  <c r="E51" i="17"/>
  <c r="E47" i="17"/>
  <c r="E45" i="17"/>
  <c r="E52" i="17"/>
  <c r="E54" i="17"/>
  <c r="E50" i="17"/>
  <c r="E46" i="17"/>
  <c r="E42" i="17"/>
  <c r="D49" i="17"/>
  <c r="D56" i="17"/>
  <c r="D48" i="17"/>
  <c r="D55" i="17"/>
  <c r="D43" i="17"/>
  <c r="D45" i="17"/>
  <c r="D47" i="17"/>
  <c r="D53" i="17"/>
  <c r="D52" i="17"/>
  <c r="D44" i="17"/>
  <c r="D51" i="17"/>
  <c r="D54" i="17"/>
  <c r="D50" i="17"/>
  <c r="D46" i="17"/>
  <c r="D42" i="17"/>
  <c r="C45" i="17"/>
  <c r="C56" i="17"/>
  <c r="C48" i="17"/>
  <c r="C47" i="17"/>
  <c r="C53" i="17"/>
  <c r="C49" i="17"/>
  <c r="C52" i="17"/>
  <c r="C44" i="17"/>
  <c r="C55" i="17"/>
  <c r="C51" i="17"/>
  <c r="C43" i="17"/>
  <c r="C54" i="17"/>
  <c r="C50" i="17"/>
  <c r="C46" i="17"/>
  <c r="C42" i="17"/>
  <c r="B49" i="17"/>
  <c r="B44" i="17"/>
  <c r="B55" i="17"/>
  <c r="B43" i="17"/>
  <c r="B53" i="17"/>
  <c r="B56" i="17"/>
  <c r="B48" i="17"/>
  <c r="B51" i="17"/>
  <c r="B47" i="17"/>
  <c r="B45" i="17"/>
  <c r="B52" i="17"/>
  <c r="B54" i="17"/>
  <c r="B50" i="17"/>
  <c r="B46" i="17"/>
  <c r="B42" i="17"/>
  <c r="E41" i="17"/>
  <c r="D41" i="17"/>
  <c r="C41" i="17"/>
  <c r="B41" i="17"/>
  <c r="E30" i="17"/>
  <c r="E37" i="17"/>
  <c r="E29" i="17"/>
  <c r="E28" i="17"/>
  <c r="E24" i="17"/>
  <c r="E34" i="17"/>
  <c r="E32" i="17"/>
  <c r="E26" i="17"/>
  <c r="E33" i="17"/>
  <c r="E25" i="17"/>
  <c r="E36" i="17"/>
  <c r="E35" i="17"/>
  <c r="E31" i="17"/>
  <c r="E27" i="17"/>
  <c r="E23" i="17"/>
  <c r="D34" i="17"/>
  <c r="D30" i="17"/>
  <c r="D26" i="17"/>
  <c r="D37" i="17"/>
  <c r="D33" i="17"/>
  <c r="D29" i="17"/>
  <c r="D25" i="17"/>
  <c r="D36" i="17"/>
  <c r="D32" i="17"/>
  <c r="D28" i="17"/>
  <c r="D24" i="17"/>
  <c r="D35" i="17"/>
  <c r="D31" i="17"/>
  <c r="D27" i="17"/>
  <c r="D23" i="17"/>
  <c r="C35" i="17"/>
  <c r="C34" i="17"/>
  <c r="C30" i="17"/>
  <c r="C26" i="17"/>
  <c r="C27" i="17"/>
  <c r="C25" i="17"/>
  <c r="C31" i="17"/>
  <c r="C37" i="17"/>
  <c r="C33" i="17"/>
  <c r="C29" i="17"/>
  <c r="C36" i="17"/>
  <c r="C32" i="17"/>
  <c r="C28" i="17"/>
  <c r="C24" i="17"/>
  <c r="C23" i="17"/>
  <c r="B34" i="17"/>
  <c r="B30" i="17"/>
  <c r="B37" i="17"/>
  <c r="B25" i="17"/>
  <c r="B36" i="17"/>
  <c r="B32" i="17"/>
  <c r="B28" i="17"/>
  <c r="B24" i="17"/>
  <c r="B33" i="17"/>
  <c r="B26" i="17"/>
  <c r="B29" i="17"/>
  <c r="B35" i="17"/>
  <c r="B31" i="17"/>
  <c r="B27" i="17"/>
  <c r="B23" i="17"/>
  <c r="E22" i="17"/>
  <c r="D22" i="17"/>
  <c r="C22" i="17"/>
  <c r="B22" i="17"/>
  <c r="E11" i="17"/>
  <c r="E18" i="17"/>
  <c r="E6" i="17"/>
  <c r="E17" i="17"/>
  <c r="E13" i="17"/>
  <c r="E9" i="17"/>
  <c r="E5" i="17"/>
  <c r="E15" i="17"/>
  <c r="E7" i="17"/>
  <c r="E14" i="17"/>
  <c r="E10" i="17"/>
  <c r="E16" i="17"/>
  <c r="E12" i="17"/>
  <c r="E8" i="17"/>
  <c r="E4" i="17"/>
  <c r="D15" i="17"/>
  <c r="D11" i="17"/>
  <c r="D14" i="17"/>
  <c r="D6" i="17"/>
  <c r="D17" i="17"/>
  <c r="D13" i="17"/>
  <c r="D9" i="17"/>
  <c r="D5" i="17"/>
  <c r="D7" i="17"/>
  <c r="D18" i="17"/>
  <c r="D10" i="17"/>
  <c r="D16" i="17"/>
  <c r="D12" i="17"/>
  <c r="D8" i="17"/>
  <c r="D4" i="17"/>
  <c r="C6" i="17"/>
  <c r="C7" i="17"/>
  <c r="C18" i="17"/>
  <c r="C5" i="17"/>
  <c r="C11" i="17"/>
  <c r="C10" i="17"/>
  <c r="C17" i="17"/>
  <c r="C9" i="17"/>
  <c r="C15" i="17"/>
  <c r="C14" i="17"/>
  <c r="C13" i="17"/>
  <c r="C16" i="17"/>
  <c r="C12" i="17"/>
  <c r="C8" i="17"/>
  <c r="C4" i="17"/>
  <c r="D3" i="17"/>
  <c r="E3" i="17"/>
  <c r="B16" i="17"/>
  <c r="B7" i="17"/>
  <c r="B10" i="17"/>
  <c r="B12" i="17"/>
  <c r="B15" i="17"/>
  <c r="B18" i="17"/>
  <c r="B6" i="17"/>
  <c r="B8" i="17"/>
  <c r="B11" i="17"/>
  <c r="B14" i="17"/>
  <c r="B17" i="17"/>
  <c r="B13" i="17"/>
  <c r="B9" i="17"/>
  <c r="B5" i="17"/>
  <c r="B4" i="17"/>
  <c r="C3" i="17"/>
  <c r="B3" i="17"/>
  <c r="L43" i="17" l="1"/>
  <c r="I50" i="17"/>
  <c r="I51" i="17"/>
  <c r="S24" i="17"/>
  <c r="R25" i="17"/>
  <c r="T25" i="17"/>
  <c r="S25" i="17"/>
  <c r="R24" i="17"/>
  <c r="Q25" i="17"/>
  <c r="T24" i="17"/>
  <c r="Q24" i="17"/>
  <c r="R23" i="17"/>
  <c r="T23" i="17"/>
  <c r="S23" i="17"/>
  <c r="Q23" i="17"/>
  <c r="J29" i="17"/>
  <c r="M23" i="17"/>
  <c r="L27" i="17"/>
  <c r="M31" i="17"/>
  <c r="L35" i="17"/>
  <c r="M29" i="17"/>
  <c r="L22" i="17"/>
  <c r="L23" i="17"/>
  <c r="L30" i="17"/>
  <c r="J22" i="17"/>
  <c r="M35" i="17"/>
  <c r="M37" i="17"/>
  <c r="M27" i="17"/>
  <c r="J35" i="17"/>
  <c r="K23" i="17"/>
  <c r="K22" i="17"/>
  <c r="M30" i="17"/>
  <c r="L31" i="17"/>
  <c r="M26" i="17"/>
  <c r="I43" i="17"/>
  <c r="L42" i="17"/>
  <c r="I41" i="17"/>
  <c r="J42" i="17"/>
  <c r="L34" i="17"/>
  <c r="L41" i="17"/>
  <c r="I42" i="17"/>
  <c r="K41" i="17"/>
  <c r="K43" i="17"/>
  <c r="J41" i="17"/>
  <c r="J43" i="17"/>
  <c r="K42" i="17"/>
  <c r="M24" i="17"/>
  <c r="J24" i="17"/>
  <c r="J36" i="17"/>
  <c r="M25" i="17"/>
  <c r="J31" i="17"/>
  <c r="L24" i="17"/>
  <c r="K28" i="17"/>
  <c r="K29" i="17"/>
  <c r="K31" i="17"/>
  <c r="K30" i="17"/>
  <c r="K34" i="17"/>
  <c r="L28" i="17"/>
  <c r="M28" i="17"/>
  <c r="J37" i="17"/>
  <c r="L32" i="17"/>
  <c r="M33" i="17"/>
  <c r="J26" i="17"/>
  <c r="M34" i="17"/>
  <c r="M32" i="17"/>
  <c r="J32" i="17"/>
  <c r="K27" i="17"/>
  <c r="L36" i="17"/>
  <c r="M36" i="17"/>
  <c r="K35" i="17"/>
  <c r="L25" i="17"/>
  <c r="J33" i="17"/>
  <c r="K24" i="17"/>
  <c r="L29" i="17"/>
  <c r="L33" i="17"/>
  <c r="J30" i="17"/>
  <c r="K37" i="17"/>
  <c r="L37" i="17"/>
  <c r="K33" i="17"/>
  <c r="L26" i="17"/>
  <c r="J4" i="17"/>
  <c r="K32" i="17"/>
  <c r="K26" i="17"/>
  <c r="J25" i="17"/>
  <c r="K25" i="17"/>
  <c r="K36" i="17"/>
  <c r="J27" i="17"/>
  <c r="M22" i="17"/>
  <c r="J23" i="17"/>
  <c r="J28" i="17"/>
  <c r="J34" i="17"/>
  <c r="K5" i="17"/>
  <c r="J5" i="17"/>
  <c r="L5" i="17"/>
  <c r="L4" i="17"/>
  <c r="K4" i="17"/>
  <c r="I5" i="17"/>
  <c r="J3" i="17"/>
  <c r="K3" i="17"/>
  <c r="I3" i="17"/>
  <c r="L3" i="17"/>
  <c r="I4" i="17"/>
  <c r="J15" i="17" l="1"/>
  <c r="K15" i="17"/>
  <c r="L14" i="17"/>
  <c r="I15" i="17"/>
  <c r="J14" i="17"/>
  <c r="I14" i="17"/>
  <c r="L15" i="17"/>
  <c r="K13" i="17"/>
  <c r="K14" i="17"/>
  <c r="L13" i="17"/>
  <c r="J13" i="17"/>
  <c r="I13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<sst xmlns="http://schemas.openxmlformats.org/spreadsheetml/2006/main" count="266" uniqueCount="30">
  <si>
    <t>Nazwa hostingu</t>
  </si>
  <si>
    <t>infinityfree</t>
  </si>
  <si>
    <t>aeonfree</t>
  </si>
  <si>
    <t>tinkerhost</t>
  </si>
  <si>
    <t>x10hosting</t>
  </si>
  <si>
    <t>googiehost</t>
  </si>
  <si>
    <t>freehosting.it</t>
  </si>
  <si>
    <t>atspace</t>
  </si>
  <si>
    <t>awardspace</t>
  </si>
  <si>
    <t>freehostingeu</t>
  </si>
  <si>
    <t>freehostingnoads</t>
  </si>
  <si>
    <t>hidencloud</t>
  </si>
  <si>
    <t>replit</t>
  </si>
  <si>
    <t>vercel</t>
  </si>
  <si>
    <t>render</t>
  </si>
  <si>
    <t>alwaysdata</t>
  </si>
  <si>
    <t>leapcell</t>
  </si>
  <si>
    <t>Mediana</t>
  </si>
  <si>
    <t>Odchylenie Standardowe</t>
  </si>
  <si>
    <t>Średnia</t>
  </si>
  <si>
    <t xml:space="preserve"> Średnia arytmetyczna</t>
  </si>
  <si>
    <t>Średnia arytmetyczna</t>
  </si>
  <si>
    <t>Technologia</t>
  </si>
  <si>
    <t>PHP</t>
  </si>
  <si>
    <t>Node.js</t>
  </si>
  <si>
    <t>Go</t>
  </si>
  <si>
    <t>INSERT</t>
  </si>
  <si>
    <t>SELECT</t>
  </si>
  <si>
    <t>UPDATE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</si>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</sst>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0" fillId="0" borderId="0" xfId="0" applyNumberFormat="1"/>
    <xf numFmtId="2" fontId="2" fillId="0" borderId="4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Border="1" applyAlignment="1"/>
    <xf numFmtId="0" fontId="0" fillId="0" borderId="5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zbiorcza!$H$3</c:f>
              <c:strCache>
                <c:ptCount val="1"/>
                <c:pt idx="0">
                  <c:v>PHP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zbiorcza!$I$2:$L$2</c15:sqref>
                  </c15:fullRef>
                </c:ext>
              </c:extLst>
              <c:f>zbiorcza!$I$2:$L$2</c:f>
              <c:strCache>
                <c:ptCount val="4"/>
                <c:pt idx="0">
                  <c:v>INSERT</c:v>
                </c:pt>
                <c:pt idx="1">
                  <c:v>SELECT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zbiorcza!$I$3:$M$3</c15:sqref>
                  </c15:fullRef>
                </c:ext>
              </c:extLst>
              <c:f>zbiorcza!$I$3:$L$3</c:f>
              <c:numCache>
                <c:formatCode>0.00</c:formatCode>
                <c:ptCount val="4"/>
                <c:pt idx="0">
                  <c:v>3247.9219499999999</c:v>
                </c:pt>
                <c:pt idx="1">
                  <c:v>29.25177</c:v>
                </c:pt>
                <c:pt idx="2">
                  <c:v>2380.0149699999997</c:v>
                </c:pt>
                <c:pt idx="3">
                  <c:v>33.197149999999993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2-4438-B78A-7C024A0B097D}"/>
            </c:ext>
          </c:extLst>
        </c:ser>
        <c:ser>
          <c:idx val="1"/>
          <c:order val="1"/>
          <c:tx>
            <c:strRef>
              <c:f>zbiorcza!$H$4</c:f>
              <c:strCache>
                <c:ptCount val="1"/>
                <c:pt idx="0">
                  <c:v>Node.js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zbiorcza!$I$2:$L$2</c15:sqref>
                  </c15:fullRef>
                </c:ext>
              </c:extLst>
              <c:f>zbiorcza!$I$2:$L$2</c:f>
              <c:strCache>
                <c:ptCount val="4"/>
                <c:pt idx="0">
                  <c:v>INSERT</c:v>
                </c:pt>
                <c:pt idx="1">
                  <c:v>SELECT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zbiorcza!$I$4:$M$4</c15:sqref>
                  </c15:fullRef>
                </c:ext>
              </c:extLst>
              <c:f>zbiorcza!$I$4:$L$4</c:f>
              <c:numCache>
                <c:formatCode>0.00</c:formatCode>
                <c:ptCount val="4"/>
                <c:pt idx="0">
                  <c:v>709.1785666666666</c:v>
                </c:pt>
                <c:pt idx="1">
                  <c:v>216.92089999999996</c:v>
                </c:pt>
                <c:pt idx="2">
                  <c:v>407.94119999999992</c:v>
                </c:pt>
                <c:pt idx="3">
                  <c:v>40.052699999999994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2-4438-B78A-7C024A0B097D}"/>
            </c:ext>
          </c:extLst>
        </c:ser>
        <c:ser>
          <c:idx val="2"/>
          <c:order val="2"/>
          <c:tx>
            <c:strRef>
              <c:f>zbiorcza!$H$5</c:f>
              <c:strCache>
                <c:ptCount val="1"/>
                <c:pt idx="0">
                  <c:v>Go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zbiorcza!$I$2:$L$2</c15:sqref>
                  </c15:fullRef>
                </c:ext>
              </c:extLst>
              <c:f>zbiorcza!$I$2:$L$2</c:f>
              <c:strCache>
                <c:ptCount val="4"/>
                <c:pt idx="0">
                  <c:v>INSERT</c:v>
                </c:pt>
                <c:pt idx="1">
                  <c:v>SELECT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zbiorcza!$I$5:$M$5</c15:sqref>
                  </c15:fullRef>
                </c:ext>
              </c:extLst>
              <c:f>zbiorcza!$I$5:$L$5</c:f>
              <c:numCache>
                <c:formatCode>0.00</c:formatCode>
                <c:ptCount val="4"/>
                <c:pt idx="0">
                  <c:v>311.75483333333335</c:v>
                </c:pt>
                <c:pt idx="1">
                  <c:v>39.682133333333311</c:v>
                </c:pt>
                <c:pt idx="2">
                  <c:v>715.05240000000003</c:v>
                </c:pt>
                <c:pt idx="3">
                  <c:v>42.468966666666667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82-4438-B78A-7C024A0B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15312"/>
        <c:axId val="26324432"/>
      </c:barChart>
      <c:catAx>
        <c:axId val="2631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Rodzaj</a:t>
                </a:r>
                <a:r>
                  <a:rPr lang="pl-PL" baseline="0"/>
                  <a:t> operacji na bazie danych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324432"/>
        <c:crosses val="autoZero"/>
        <c:auto val="1"/>
        <c:lblAlgn val="ctr"/>
        <c:lblOffset val="100"/>
        <c:noMultiLvlLbl val="0"/>
      </c:catAx>
      <c:valAx>
        <c:axId val="2632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baseline="0"/>
                  <a:t>Średnia arytmetyczna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31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zbiorcza!$P$23</c:f>
              <c:strCache>
                <c:ptCount val="1"/>
                <c:pt idx="0">
                  <c:v>PHP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zbiorcza!$Q$22:$T$22</c15:sqref>
                  </c15:fullRef>
                </c:ext>
              </c:extLst>
              <c:f>zbiorcza!$Q$22:$T$22</c:f>
              <c:strCache>
                <c:ptCount val="4"/>
                <c:pt idx="0">
                  <c:v>INSERT</c:v>
                </c:pt>
                <c:pt idx="1">
                  <c:v>SELECT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zbiorcza!$Q$23:$U$23</c15:sqref>
                  </c15:fullRef>
                </c:ext>
              </c:extLst>
              <c:f>zbiorcza!$Q$23:$T$23</c:f>
              <c:numCache>
                <c:formatCode>0.00</c:formatCode>
                <c:ptCount val="4"/>
                <c:pt idx="0">
                  <c:v>3125.9279999999999</c:v>
                </c:pt>
                <c:pt idx="1">
                  <c:v>27.201999999999998</c:v>
                </c:pt>
                <c:pt idx="2">
                  <c:v>2150.3309999999997</c:v>
                </c:pt>
                <c:pt idx="3">
                  <c:v>24.666000000000004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3-4F5A-8964-2C04ABE28A53}"/>
            </c:ext>
          </c:extLst>
        </c:ser>
        <c:ser>
          <c:idx val="1"/>
          <c:order val="1"/>
          <c:tx>
            <c:strRef>
              <c:f>zbiorcza!$P$24</c:f>
              <c:strCache>
                <c:ptCount val="1"/>
                <c:pt idx="0">
                  <c:v>Node.js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zbiorcza!$Q$22:$T$22</c15:sqref>
                  </c15:fullRef>
                </c:ext>
              </c:extLst>
              <c:f>zbiorcza!$Q$22:$T$22</c:f>
              <c:strCache>
                <c:ptCount val="4"/>
                <c:pt idx="0">
                  <c:v>INSERT</c:v>
                </c:pt>
                <c:pt idx="1">
                  <c:v>SELECT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zbiorcza!$Q$24:$U$24</c15:sqref>
                  </c15:fullRef>
                </c:ext>
              </c:extLst>
              <c:f>zbiorcza!$Q$24:$T$24</c:f>
              <c:numCache>
                <c:formatCode>0.00</c:formatCode>
                <c:ptCount val="4"/>
                <c:pt idx="0">
                  <c:v>231.40833333333333</c:v>
                </c:pt>
                <c:pt idx="1">
                  <c:v>128.12</c:v>
                </c:pt>
                <c:pt idx="2">
                  <c:v>210.06500000000003</c:v>
                </c:pt>
                <c:pt idx="3">
                  <c:v>32.123333333333335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3-4F5A-8964-2C04ABE28A53}"/>
            </c:ext>
          </c:extLst>
        </c:ser>
        <c:ser>
          <c:idx val="2"/>
          <c:order val="2"/>
          <c:tx>
            <c:strRef>
              <c:f>zbiorcza!$P$25</c:f>
              <c:strCache>
                <c:ptCount val="1"/>
                <c:pt idx="0">
                  <c:v>Go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zbiorcza!$Q$22:$T$22</c15:sqref>
                  </c15:fullRef>
                </c:ext>
              </c:extLst>
              <c:f>zbiorcza!$Q$22:$T$22</c:f>
              <c:strCache>
                <c:ptCount val="4"/>
                <c:pt idx="0">
                  <c:v>INSERT</c:v>
                </c:pt>
                <c:pt idx="1">
                  <c:v>SELECT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zbiorcza!$Q$25:$U$25</c15:sqref>
                  </c15:fullRef>
                </c:ext>
              </c:extLst>
              <c:f>zbiorcza!$Q$25:$T$25</c:f>
              <c:numCache>
                <c:formatCode>0.00</c:formatCode>
                <c:ptCount val="4"/>
                <c:pt idx="0">
                  <c:v>194.67166666666665</c:v>
                </c:pt>
                <c:pt idx="1">
                  <c:v>31.118333333333336</c:v>
                </c:pt>
                <c:pt idx="2">
                  <c:v>330.21333333333337</c:v>
                </c:pt>
                <c:pt idx="3">
                  <c:v>36.193333333333335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83-4F5A-8964-2C04ABE28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2564927"/>
        <c:axId val="1902560607"/>
      </c:barChart>
      <c:catAx>
        <c:axId val="1902564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Rodzaj operacji na bazie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2560607"/>
        <c:crosses val="autoZero"/>
        <c:auto val="1"/>
        <c:lblAlgn val="ctr"/>
        <c:lblOffset val="100"/>
        <c:noMultiLvlLbl val="0"/>
      </c:catAx>
      <c:valAx>
        <c:axId val="1902560607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Mediana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256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zbiorcza!$H$41</c:f>
              <c:strCache>
                <c:ptCount val="1"/>
                <c:pt idx="0">
                  <c:v>PHP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zbiorcza!$I$40:$L$40</c15:sqref>
                  </c15:fullRef>
                </c:ext>
              </c:extLst>
              <c:f>zbiorcza!$I$40:$L$40</c:f>
              <c:strCache>
                <c:ptCount val="4"/>
                <c:pt idx="0">
                  <c:v>INSERT</c:v>
                </c:pt>
                <c:pt idx="1">
                  <c:v>SELECT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zbiorcza!$I$41:$M$41</c15:sqref>
                  </c15:fullRef>
                </c:ext>
              </c:extLst>
              <c:f>zbiorcza!$I$41:$L$41</c:f>
              <c:numCache>
                <c:formatCode>0.00</c:formatCode>
                <c:ptCount val="4"/>
                <c:pt idx="0">
                  <c:v>1234.3927475465196</c:v>
                </c:pt>
                <c:pt idx="1">
                  <c:v>11.332063636619962</c:v>
                </c:pt>
                <c:pt idx="2">
                  <c:v>870.87042852765421</c:v>
                </c:pt>
                <c:pt idx="3">
                  <c:v>36.575466610165414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6-44CF-B936-502653A8D92C}"/>
            </c:ext>
          </c:extLst>
        </c:ser>
        <c:ser>
          <c:idx val="1"/>
          <c:order val="1"/>
          <c:tx>
            <c:strRef>
              <c:f>zbiorcza!$H$42</c:f>
              <c:strCache>
                <c:ptCount val="1"/>
                <c:pt idx="0">
                  <c:v>Node.js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zbiorcza!$I$40:$L$40</c15:sqref>
                  </c15:fullRef>
                </c:ext>
              </c:extLst>
              <c:f>zbiorcza!$I$40:$L$40</c:f>
              <c:strCache>
                <c:ptCount val="4"/>
                <c:pt idx="0">
                  <c:v>INSERT</c:v>
                </c:pt>
                <c:pt idx="1">
                  <c:v>SELECT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zbiorcza!$I$42:$M$42</c15:sqref>
                  </c15:fullRef>
                </c:ext>
              </c:extLst>
              <c:f>zbiorcza!$I$42:$L$42</c:f>
              <c:numCache>
                <c:formatCode>0.00</c:formatCode>
                <c:ptCount val="4"/>
                <c:pt idx="0">
                  <c:v>1672.2740635403372</c:v>
                </c:pt>
                <c:pt idx="1">
                  <c:v>400.7681995856131</c:v>
                </c:pt>
                <c:pt idx="2">
                  <c:v>752.39029739990121</c:v>
                </c:pt>
                <c:pt idx="3">
                  <c:v>33.970839143206007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6-44CF-B936-502653A8D92C}"/>
            </c:ext>
          </c:extLst>
        </c:ser>
        <c:ser>
          <c:idx val="2"/>
          <c:order val="2"/>
          <c:tx>
            <c:strRef>
              <c:f>zbiorcza!$H$43</c:f>
              <c:strCache>
                <c:ptCount val="1"/>
                <c:pt idx="0">
                  <c:v>Go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zbiorcza!$I$40:$L$40</c15:sqref>
                  </c15:fullRef>
                </c:ext>
              </c:extLst>
              <c:f>zbiorcza!$I$40:$L$40</c:f>
              <c:strCache>
                <c:ptCount val="4"/>
                <c:pt idx="0">
                  <c:v>INSERT</c:v>
                </c:pt>
                <c:pt idx="1">
                  <c:v>SELECT</c:v>
                </c:pt>
                <c:pt idx="2">
                  <c:v>UPDATE</c:v>
                </c:pt>
                <c:pt idx="3">
                  <c:v>DELETE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zbiorcza!$I$43:$M$43</c15:sqref>
                  </c15:fullRef>
                </c:ext>
              </c:extLst>
              <c:f>zbiorcza!$I$43:$L$43</c:f>
              <c:numCache>
                <c:formatCode>0.00</c:formatCode>
                <c:ptCount val="4"/>
                <c:pt idx="0">
                  <c:v>260.24013272389999</c:v>
                </c:pt>
                <c:pt idx="1">
                  <c:v>41.759610151975444</c:v>
                </c:pt>
                <c:pt idx="2">
                  <c:v>1181.9891927005242</c:v>
                </c:pt>
                <c:pt idx="3">
                  <c:v>25.813853194097391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B6-44CF-B936-502653A8D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442479"/>
        <c:axId val="1895438639"/>
      </c:barChart>
      <c:catAx>
        <c:axId val="189544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Rodzaj operacji na bazie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5438639"/>
        <c:crosses val="autoZero"/>
        <c:auto val="1"/>
        <c:lblAlgn val="ctr"/>
        <c:lblOffset val="100"/>
        <c:noMultiLvlLbl val="0"/>
      </c:catAx>
      <c:valAx>
        <c:axId val="189543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Odchylenie standardowe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544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220980</xdr:colOff>
      <xdr:row>0</xdr:row>
      <xdr:rowOff>60960</xdr:rowOff>
    </xdr:from>
    <xdr:to>
      <xdr:col>20</xdr:col>
      <xdr:colOff>525780</xdr:colOff>
      <xdr:row>14</xdr:row>
      <xdr:rowOff>137160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F1604DA-15F5-CA6E-94F8-2DBB3B3E1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396240</xdr:colOff>
      <xdr:row>25</xdr:row>
      <xdr:rowOff>129540</xdr:rowOff>
    </xdr:from>
    <xdr:to>
      <xdr:col>22</xdr:col>
      <xdr:colOff>91440</xdr:colOff>
      <xdr:row>40</xdr:row>
      <xdr:rowOff>22860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3DC4C7B-FCFD-8B8D-BC1E-2BF69D7BC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266700</xdr:colOff>
      <xdr:row>42</xdr:row>
      <xdr:rowOff>45720</xdr:rowOff>
    </xdr:from>
    <xdr:to>
      <xdr:col>20</xdr:col>
      <xdr:colOff>571500</xdr:colOff>
      <xdr:row>56</xdr:row>
      <xdr:rowOff>121920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237BEDC-7514-2D3E-640D-A9CBB0839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activeCell="K13" sqref="K13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1781.93</v>
      </c>
      <c r="B2">
        <v>33.119999999999997</v>
      </c>
      <c r="C2">
        <v>1772.71</v>
      </c>
      <c r="D2">
        <v>0.65</v>
      </c>
      <c r="H2" t="s">
        <v>21</v>
      </c>
      <c r="I2" s="4">
        <f>AVERAGE(A$2:A$101)</f>
        <v>1595.6638000000003</v>
      </c>
      <c r="J2" s="4">
        <f>AVERAGE(B$2:B$101)</f>
        <v>23.868999999999993</v>
      </c>
      <c r="K2" s="4">
        <f>AVERAGE(C$2:C$101)</f>
        <v>1622.7807999999993</v>
      </c>
      <c r="L2" s="4">
        <f t="shared" ref="L2" si="0">AVERAGE(D$2:D$101)</f>
        <v>0.69359999999999988</v>
      </c>
      <c r="M2" s="4"/>
    </row>
    <row r="3" spans="1:13" x14ac:dyDescent="0.3">
      <c r="A3">
        <v>1681.95</v>
      </c>
      <c r="B3">
        <v>36.909999999999997</v>
      </c>
      <c r="C3">
        <v>1505.46</v>
      </c>
      <c r="D3">
        <v>0.67</v>
      </c>
      <c r="H3" t="s">
        <v>17</v>
      </c>
      <c r="I3" s="4">
        <f>MEDIAN(A$2:A$101)</f>
        <v>1565.8899999999999</v>
      </c>
      <c r="J3" s="4">
        <f t="shared" ref="J3:L3" si="1">MEDIAN(B$2:B$101)</f>
        <v>21.34</v>
      </c>
      <c r="K3" s="4">
        <f t="shared" si="1"/>
        <v>1597.5550000000001</v>
      </c>
      <c r="L3" s="4">
        <f t="shared" si="1"/>
        <v>0.66</v>
      </c>
      <c r="M3" s="4"/>
    </row>
    <row r="4" spans="1:13" x14ac:dyDescent="0.3">
      <c r="A4">
        <v>1442</v>
      </c>
      <c r="B4">
        <v>21.3</v>
      </c>
      <c r="C4">
        <v>1519.77</v>
      </c>
      <c r="D4">
        <v>0.63</v>
      </c>
      <c r="H4" t="s">
        <v>18</v>
      </c>
      <c r="I4" s="4">
        <f>_xlfn.STDEV.S(A$2:A$101)</f>
        <v>170.54169233889965</v>
      </c>
      <c r="J4" s="4">
        <f t="shared" ref="J4:L4" si="2">_xlfn.STDEV.S(B$2:B$101)</f>
        <v>8.3151268386859147</v>
      </c>
      <c r="K4" s="4">
        <f t="shared" si="2"/>
        <v>168.47811767920933</v>
      </c>
      <c r="L4" s="4">
        <f t="shared" si="2"/>
        <v>0.14541143300471679</v>
      </c>
      <c r="M4" s="4"/>
    </row>
    <row r="5" spans="1:13" x14ac:dyDescent="0.3">
      <c r="A5">
        <v>1612.88</v>
      </c>
      <c r="B5">
        <v>17.16</v>
      </c>
      <c r="C5">
        <v>1829.45</v>
      </c>
      <c r="D5">
        <v>0.64</v>
      </c>
    </row>
    <row r="6" spans="1:13" x14ac:dyDescent="0.3">
      <c r="A6">
        <v>1760.2</v>
      </c>
      <c r="B6">
        <v>20.09</v>
      </c>
      <c r="C6">
        <v>1803.95</v>
      </c>
      <c r="D6">
        <v>0.67</v>
      </c>
    </row>
    <row r="7" spans="1:13" x14ac:dyDescent="0.3">
      <c r="A7">
        <v>1596.98</v>
      </c>
      <c r="B7">
        <v>22.89</v>
      </c>
      <c r="C7">
        <v>1735.34</v>
      </c>
      <c r="D7">
        <v>0.65</v>
      </c>
    </row>
    <row r="8" spans="1:13" x14ac:dyDescent="0.3">
      <c r="A8">
        <v>1636.68</v>
      </c>
      <c r="B8">
        <v>18.75</v>
      </c>
      <c r="C8">
        <v>1419.19</v>
      </c>
      <c r="D8">
        <v>0.63</v>
      </c>
    </row>
    <row r="9" spans="1:13" x14ac:dyDescent="0.3">
      <c r="A9">
        <v>1413.08</v>
      </c>
      <c r="B9">
        <v>15.93</v>
      </c>
      <c r="C9">
        <v>1440.18</v>
      </c>
      <c r="D9">
        <v>0.66</v>
      </c>
    </row>
    <row r="10" spans="1:13" x14ac:dyDescent="0.3">
      <c r="A10">
        <v>1518.57</v>
      </c>
      <c r="B10">
        <v>24.74</v>
      </c>
      <c r="C10">
        <v>1512.16</v>
      </c>
      <c r="D10">
        <v>0.62</v>
      </c>
    </row>
    <row r="11" spans="1:13" x14ac:dyDescent="0.3">
      <c r="A11">
        <v>1544.19</v>
      </c>
      <c r="B11">
        <v>16.11</v>
      </c>
      <c r="C11">
        <v>1673.3</v>
      </c>
      <c r="D11">
        <v>0.55000000000000004</v>
      </c>
    </row>
    <row r="12" spans="1:13" x14ac:dyDescent="0.3">
      <c r="A12">
        <v>1642.72</v>
      </c>
      <c r="B12">
        <v>32.19</v>
      </c>
      <c r="C12">
        <v>1732.67</v>
      </c>
      <c r="D12">
        <v>0.76</v>
      </c>
    </row>
    <row r="13" spans="1:13" x14ac:dyDescent="0.3">
      <c r="A13">
        <v>1773.31</v>
      </c>
      <c r="B13">
        <v>29.16</v>
      </c>
      <c r="C13">
        <v>1899.68</v>
      </c>
      <c r="D13">
        <v>0.71</v>
      </c>
    </row>
    <row r="14" spans="1:13" x14ac:dyDescent="0.3">
      <c r="A14">
        <v>2031.79</v>
      </c>
      <c r="B14">
        <v>38.340000000000003</v>
      </c>
      <c r="C14">
        <v>1674.18</v>
      </c>
      <c r="D14">
        <v>0.73</v>
      </c>
    </row>
    <row r="15" spans="1:13" x14ac:dyDescent="0.3">
      <c r="A15">
        <v>1554.13</v>
      </c>
      <c r="B15">
        <v>17.91</v>
      </c>
      <c r="C15">
        <v>1363.88</v>
      </c>
      <c r="D15">
        <v>0.6</v>
      </c>
    </row>
    <row r="16" spans="1:13" x14ac:dyDescent="0.3">
      <c r="A16">
        <v>1589.56</v>
      </c>
      <c r="B16">
        <v>23.26</v>
      </c>
      <c r="C16">
        <v>1462.64</v>
      </c>
      <c r="D16">
        <v>0.62</v>
      </c>
    </row>
    <row r="17" spans="1:4" x14ac:dyDescent="0.3">
      <c r="A17">
        <v>1507.05</v>
      </c>
      <c r="B17">
        <v>25.36</v>
      </c>
      <c r="C17">
        <v>1748.23</v>
      </c>
      <c r="D17">
        <v>0.67</v>
      </c>
    </row>
    <row r="18" spans="1:4" x14ac:dyDescent="0.3">
      <c r="A18">
        <v>1695.62</v>
      </c>
      <c r="B18">
        <v>20.14</v>
      </c>
      <c r="C18">
        <v>1527.5</v>
      </c>
      <c r="D18">
        <v>0.62</v>
      </c>
    </row>
    <row r="19" spans="1:4" x14ac:dyDescent="0.3">
      <c r="A19">
        <v>1401.51</v>
      </c>
      <c r="B19">
        <v>15.88</v>
      </c>
      <c r="C19">
        <v>1430.89</v>
      </c>
      <c r="D19">
        <v>0.71</v>
      </c>
    </row>
    <row r="20" spans="1:4" x14ac:dyDescent="0.3">
      <c r="A20">
        <v>1462.53</v>
      </c>
      <c r="B20">
        <v>16.13</v>
      </c>
      <c r="C20">
        <v>1407.63</v>
      </c>
      <c r="D20">
        <v>0.67</v>
      </c>
    </row>
    <row r="21" spans="1:4" x14ac:dyDescent="0.3">
      <c r="A21">
        <v>1415.26</v>
      </c>
      <c r="B21">
        <v>15.89</v>
      </c>
      <c r="C21">
        <v>1447.14</v>
      </c>
      <c r="D21">
        <v>0.65</v>
      </c>
    </row>
    <row r="22" spans="1:4" x14ac:dyDescent="0.3">
      <c r="A22">
        <v>1721.26</v>
      </c>
      <c r="B22">
        <v>20.82</v>
      </c>
      <c r="C22">
        <v>1735.31</v>
      </c>
      <c r="D22">
        <v>0.57999999999999996</v>
      </c>
    </row>
    <row r="23" spans="1:4" x14ac:dyDescent="0.3">
      <c r="A23">
        <v>1532.27</v>
      </c>
      <c r="B23">
        <v>18.190000000000001</v>
      </c>
      <c r="C23">
        <v>1606.81</v>
      </c>
      <c r="D23">
        <v>0.66</v>
      </c>
    </row>
    <row r="24" spans="1:4" x14ac:dyDescent="0.3">
      <c r="A24">
        <v>1529.06</v>
      </c>
      <c r="B24">
        <v>27.16</v>
      </c>
      <c r="C24">
        <v>1619.26</v>
      </c>
      <c r="D24">
        <v>0.69</v>
      </c>
    </row>
    <row r="25" spans="1:4" x14ac:dyDescent="0.3">
      <c r="A25">
        <v>1582.52</v>
      </c>
      <c r="B25">
        <v>17.010000000000002</v>
      </c>
      <c r="C25">
        <v>1562.23</v>
      </c>
      <c r="D25">
        <v>0.67</v>
      </c>
    </row>
    <row r="26" spans="1:4" x14ac:dyDescent="0.3">
      <c r="A26">
        <v>1619.27</v>
      </c>
      <c r="B26">
        <v>21.81</v>
      </c>
      <c r="C26">
        <v>1679.43</v>
      </c>
      <c r="D26">
        <v>0.69</v>
      </c>
    </row>
    <row r="27" spans="1:4" x14ac:dyDescent="0.3">
      <c r="A27">
        <v>1753.79</v>
      </c>
      <c r="B27">
        <v>20.39</v>
      </c>
      <c r="C27">
        <v>1902.63</v>
      </c>
      <c r="D27">
        <v>0.67</v>
      </c>
    </row>
    <row r="28" spans="1:4" x14ac:dyDescent="0.3">
      <c r="A28">
        <v>1665.4</v>
      </c>
      <c r="B28">
        <v>47.55</v>
      </c>
      <c r="C28">
        <v>1759.35</v>
      </c>
      <c r="D28">
        <v>0.66</v>
      </c>
    </row>
    <row r="29" spans="1:4" x14ac:dyDescent="0.3">
      <c r="A29">
        <v>2026.26</v>
      </c>
      <c r="B29">
        <v>25.17</v>
      </c>
      <c r="C29">
        <v>1813.75</v>
      </c>
      <c r="D29">
        <v>1.1100000000000001</v>
      </c>
    </row>
    <row r="30" spans="1:4" x14ac:dyDescent="0.3">
      <c r="A30">
        <v>1870.11</v>
      </c>
      <c r="B30">
        <v>33.5</v>
      </c>
      <c r="C30">
        <v>1850.62</v>
      </c>
      <c r="D30">
        <v>0.77</v>
      </c>
    </row>
    <row r="31" spans="1:4" x14ac:dyDescent="0.3">
      <c r="A31">
        <v>1874.23</v>
      </c>
      <c r="B31">
        <v>21.91</v>
      </c>
      <c r="C31">
        <v>1889.67</v>
      </c>
      <c r="D31">
        <v>0.77</v>
      </c>
    </row>
    <row r="32" spans="1:4" x14ac:dyDescent="0.3">
      <c r="A32">
        <v>1680.73</v>
      </c>
      <c r="B32">
        <v>21.73</v>
      </c>
      <c r="C32">
        <v>1932.7</v>
      </c>
      <c r="D32">
        <v>0.59</v>
      </c>
    </row>
    <row r="33" spans="1:4" x14ac:dyDescent="0.3">
      <c r="A33">
        <v>1590.4</v>
      </c>
      <c r="B33">
        <v>29.78</v>
      </c>
      <c r="C33">
        <v>1609.61</v>
      </c>
      <c r="D33">
        <v>0.65</v>
      </c>
    </row>
    <row r="34" spans="1:4" x14ac:dyDescent="0.3">
      <c r="A34">
        <v>1513.97</v>
      </c>
      <c r="B34">
        <v>15.88</v>
      </c>
      <c r="C34">
        <v>1439.72</v>
      </c>
      <c r="D34">
        <v>0.57999999999999996</v>
      </c>
    </row>
    <row r="35" spans="1:4" x14ac:dyDescent="0.3">
      <c r="A35">
        <v>1435.61</v>
      </c>
      <c r="B35">
        <v>21.99</v>
      </c>
      <c r="C35">
        <v>1500.16</v>
      </c>
      <c r="D35">
        <v>0.7</v>
      </c>
    </row>
    <row r="36" spans="1:4" x14ac:dyDescent="0.3">
      <c r="A36">
        <v>1470.62</v>
      </c>
      <c r="B36">
        <v>19.55</v>
      </c>
      <c r="C36">
        <v>1407.1</v>
      </c>
      <c r="D36">
        <v>0.66</v>
      </c>
    </row>
    <row r="37" spans="1:4" x14ac:dyDescent="0.3">
      <c r="A37">
        <v>1728.57</v>
      </c>
      <c r="B37">
        <v>20.55</v>
      </c>
      <c r="C37">
        <v>1765.91</v>
      </c>
      <c r="D37">
        <v>0.63</v>
      </c>
    </row>
    <row r="38" spans="1:4" x14ac:dyDescent="0.3">
      <c r="A38">
        <v>1520.74</v>
      </c>
      <c r="B38">
        <v>18.600000000000001</v>
      </c>
      <c r="C38">
        <v>1476.89</v>
      </c>
      <c r="D38">
        <v>0.72</v>
      </c>
    </row>
    <row r="39" spans="1:4" x14ac:dyDescent="0.3">
      <c r="A39">
        <v>1490.14</v>
      </c>
      <c r="B39">
        <v>34.04</v>
      </c>
      <c r="C39">
        <v>1517.9</v>
      </c>
      <c r="D39">
        <v>0.88</v>
      </c>
    </row>
    <row r="40" spans="1:4" x14ac:dyDescent="0.3">
      <c r="A40">
        <v>1529.76</v>
      </c>
      <c r="B40">
        <v>25.13</v>
      </c>
      <c r="C40">
        <v>1552.39</v>
      </c>
      <c r="D40">
        <v>0.66</v>
      </c>
    </row>
    <row r="41" spans="1:4" x14ac:dyDescent="0.3">
      <c r="A41">
        <v>1564.1</v>
      </c>
      <c r="B41">
        <v>45.28</v>
      </c>
      <c r="C41">
        <v>1575.4</v>
      </c>
      <c r="D41">
        <v>0.77</v>
      </c>
    </row>
    <row r="42" spans="1:4" x14ac:dyDescent="0.3">
      <c r="A42">
        <v>1551.81</v>
      </c>
      <c r="B42">
        <v>30.19</v>
      </c>
      <c r="C42">
        <v>1711.93</v>
      </c>
      <c r="D42">
        <v>0.62</v>
      </c>
    </row>
    <row r="43" spans="1:4" x14ac:dyDescent="0.3">
      <c r="A43">
        <v>1525.36</v>
      </c>
      <c r="B43">
        <v>35.31</v>
      </c>
      <c r="C43">
        <v>1645.04</v>
      </c>
      <c r="D43">
        <v>0.63</v>
      </c>
    </row>
    <row r="44" spans="1:4" x14ac:dyDescent="0.3">
      <c r="A44">
        <v>1639.87</v>
      </c>
      <c r="B44">
        <v>28.3</v>
      </c>
      <c r="C44">
        <v>1736.33</v>
      </c>
      <c r="D44">
        <v>0.57999999999999996</v>
      </c>
    </row>
    <row r="45" spans="1:4" x14ac:dyDescent="0.3">
      <c r="A45">
        <v>1795.43</v>
      </c>
      <c r="B45">
        <v>65.959999999999994</v>
      </c>
      <c r="C45">
        <v>1909.84</v>
      </c>
      <c r="D45">
        <v>0.61</v>
      </c>
    </row>
    <row r="46" spans="1:4" x14ac:dyDescent="0.3">
      <c r="A46">
        <v>2025.1</v>
      </c>
      <c r="B46">
        <v>30.28</v>
      </c>
      <c r="C46">
        <v>1851.33</v>
      </c>
      <c r="D46">
        <v>0.64</v>
      </c>
    </row>
    <row r="47" spans="1:4" x14ac:dyDescent="0.3">
      <c r="A47">
        <v>1501.03</v>
      </c>
      <c r="B47">
        <v>21.3</v>
      </c>
      <c r="C47">
        <v>1709.33</v>
      </c>
      <c r="D47">
        <v>0.67</v>
      </c>
    </row>
    <row r="48" spans="1:4" x14ac:dyDescent="0.3">
      <c r="A48">
        <v>1443.22</v>
      </c>
      <c r="B48">
        <v>21.57</v>
      </c>
      <c r="C48">
        <v>1544.55</v>
      </c>
      <c r="D48">
        <v>0.65</v>
      </c>
    </row>
    <row r="49" spans="1:4" x14ac:dyDescent="0.3">
      <c r="A49">
        <v>1593.93</v>
      </c>
      <c r="B49">
        <v>16.739999999999998</v>
      </c>
      <c r="C49">
        <v>1587.51</v>
      </c>
      <c r="D49">
        <v>0.76</v>
      </c>
    </row>
    <row r="50" spans="1:4" x14ac:dyDescent="0.3">
      <c r="A50">
        <v>1557.19</v>
      </c>
      <c r="B50">
        <v>20.170000000000002</v>
      </c>
      <c r="C50">
        <v>1719.63</v>
      </c>
      <c r="D50">
        <v>0.99</v>
      </c>
    </row>
    <row r="51" spans="1:4" x14ac:dyDescent="0.3">
      <c r="A51">
        <v>1925.39</v>
      </c>
      <c r="B51">
        <v>29.99</v>
      </c>
      <c r="C51">
        <v>1938.14</v>
      </c>
      <c r="D51">
        <v>0.64</v>
      </c>
    </row>
    <row r="52" spans="1:4" x14ac:dyDescent="0.3">
      <c r="A52">
        <v>1485.62</v>
      </c>
      <c r="B52">
        <v>21.89</v>
      </c>
      <c r="C52">
        <v>1603.97</v>
      </c>
      <c r="D52">
        <v>0.87</v>
      </c>
    </row>
    <row r="53" spans="1:4" x14ac:dyDescent="0.3">
      <c r="A53">
        <v>1428.01</v>
      </c>
      <c r="B53">
        <v>26.55</v>
      </c>
      <c r="C53">
        <v>1371.44</v>
      </c>
      <c r="D53">
        <v>0.73</v>
      </c>
    </row>
    <row r="54" spans="1:4" x14ac:dyDescent="0.3">
      <c r="A54">
        <v>1356.93</v>
      </c>
      <c r="B54">
        <v>18.2</v>
      </c>
      <c r="C54">
        <v>1348.44</v>
      </c>
      <c r="D54">
        <v>0.81</v>
      </c>
    </row>
    <row r="55" spans="1:4" x14ac:dyDescent="0.3">
      <c r="A55">
        <v>1291.26</v>
      </c>
      <c r="B55">
        <v>27.55</v>
      </c>
      <c r="C55">
        <v>1317.25</v>
      </c>
      <c r="D55">
        <v>0.97</v>
      </c>
    </row>
    <row r="56" spans="1:4" x14ac:dyDescent="0.3">
      <c r="A56">
        <v>1414.22</v>
      </c>
      <c r="B56">
        <v>15.82</v>
      </c>
      <c r="C56">
        <v>1430.02</v>
      </c>
      <c r="D56">
        <v>0.83</v>
      </c>
    </row>
    <row r="57" spans="1:4" x14ac:dyDescent="0.3">
      <c r="A57">
        <v>1635.82</v>
      </c>
      <c r="B57">
        <v>21.36</v>
      </c>
      <c r="C57">
        <v>1654.27</v>
      </c>
      <c r="D57">
        <v>0.64</v>
      </c>
    </row>
    <row r="58" spans="1:4" x14ac:dyDescent="0.3">
      <c r="A58">
        <v>1529.16</v>
      </c>
      <c r="B58">
        <v>17.77</v>
      </c>
      <c r="C58">
        <v>1399.98</v>
      </c>
      <c r="D58">
        <v>0.61</v>
      </c>
    </row>
    <row r="59" spans="1:4" x14ac:dyDescent="0.3">
      <c r="A59">
        <v>1370.37</v>
      </c>
      <c r="B59">
        <v>16.5</v>
      </c>
      <c r="C59">
        <v>2022.9</v>
      </c>
      <c r="D59">
        <v>0.65</v>
      </c>
    </row>
    <row r="60" spans="1:4" x14ac:dyDescent="0.3">
      <c r="A60">
        <v>1495.53</v>
      </c>
      <c r="B60">
        <v>16.89</v>
      </c>
      <c r="C60">
        <v>1347.9</v>
      </c>
      <c r="D60">
        <v>0.6</v>
      </c>
    </row>
    <row r="61" spans="1:4" x14ac:dyDescent="0.3">
      <c r="A61">
        <v>1375.25</v>
      </c>
      <c r="B61">
        <v>17.37</v>
      </c>
      <c r="C61">
        <v>1603.88</v>
      </c>
      <c r="D61">
        <v>0.59</v>
      </c>
    </row>
    <row r="62" spans="1:4" x14ac:dyDescent="0.3">
      <c r="A62">
        <v>1567.68</v>
      </c>
      <c r="B62">
        <v>26.48</v>
      </c>
      <c r="C62">
        <v>1591.23</v>
      </c>
      <c r="D62">
        <v>0.75</v>
      </c>
    </row>
    <row r="63" spans="1:4" x14ac:dyDescent="0.3">
      <c r="A63">
        <v>1420.99</v>
      </c>
      <c r="B63">
        <v>24.85</v>
      </c>
      <c r="C63">
        <v>1406.41</v>
      </c>
      <c r="D63">
        <v>0.68</v>
      </c>
    </row>
    <row r="64" spans="1:4" x14ac:dyDescent="0.3">
      <c r="A64">
        <v>1293.8699999999999</v>
      </c>
      <c r="B64">
        <v>18.329999999999998</v>
      </c>
      <c r="C64">
        <v>1409.93</v>
      </c>
      <c r="D64">
        <v>0.64</v>
      </c>
    </row>
    <row r="65" spans="1:4" x14ac:dyDescent="0.3">
      <c r="A65">
        <v>1327.7</v>
      </c>
      <c r="B65">
        <v>17.920000000000002</v>
      </c>
      <c r="C65">
        <v>1334.49</v>
      </c>
      <c r="D65">
        <v>0.57999999999999996</v>
      </c>
    </row>
    <row r="66" spans="1:4" x14ac:dyDescent="0.3">
      <c r="A66">
        <v>1281.52</v>
      </c>
      <c r="B66">
        <v>16.34</v>
      </c>
      <c r="C66">
        <v>1405.15</v>
      </c>
      <c r="D66">
        <v>0.65</v>
      </c>
    </row>
    <row r="67" spans="1:4" x14ac:dyDescent="0.3">
      <c r="A67">
        <v>1695.05</v>
      </c>
      <c r="B67">
        <v>37.93</v>
      </c>
      <c r="C67">
        <v>1660.56</v>
      </c>
      <c r="D67">
        <v>0.65</v>
      </c>
    </row>
    <row r="68" spans="1:4" x14ac:dyDescent="0.3">
      <c r="A68">
        <v>1524.89</v>
      </c>
      <c r="B68">
        <v>25.09</v>
      </c>
      <c r="C68">
        <v>1649.21</v>
      </c>
      <c r="D68">
        <v>0.69</v>
      </c>
    </row>
    <row r="69" spans="1:4" x14ac:dyDescent="0.3">
      <c r="A69">
        <v>1543.41</v>
      </c>
      <c r="B69">
        <v>17.04</v>
      </c>
      <c r="C69">
        <v>1438.01</v>
      </c>
      <c r="D69">
        <v>0.62</v>
      </c>
    </row>
    <row r="70" spans="1:4" x14ac:dyDescent="0.3">
      <c r="A70">
        <v>1676.46</v>
      </c>
      <c r="B70">
        <v>18.670000000000002</v>
      </c>
      <c r="C70">
        <v>1589.78</v>
      </c>
      <c r="D70">
        <v>0.57999999999999996</v>
      </c>
    </row>
    <row r="71" spans="1:4" x14ac:dyDescent="0.3">
      <c r="A71">
        <v>1514.71</v>
      </c>
      <c r="B71">
        <v>17.04</v>
      </c>
      <c r="C71">
        <v>1481.27</v>
      </c>
      <c r="D71">
        <v>0.57999999999999996</v>
      </c>
    </row>
    <row r="72" spans="1:4" x14ac:dyDescent="0.3">
      <c r="A72">
        <v>1521.13</v>
      </c>
      <c r="B72">
        <v>22.47</v>
      </c>
      <c r="C72">
        <v>1742.02</v>
      </c>
      <c r="D72">
        <v>0.74</v>
      </c>
    </row>
    <row r="73" spans="1:4" x14ac:dyDescent="0.3">
      <c r="A73">
        <v>1579.58</v>
      </c>
      <c r="B73">
        <v>20.16</v>
      </c>
      <c r="C73">
        <v>1698.05</v>
      </c>
      <c r="D73">
        <v>0.67</v>
      </c>
    </row>
    <row r="74" spans="1:4" x14ac:dyDescent="0.3">
      <c r="A74">
        <v>1706.66</v>
      </c>
      <c r="B74">
        <v>21.63</v>
      </c>
      <c r="C74">
        <v>1628.54</v>
      </c>
      <c r="D74">
        <v>0.68</v>
      </c>
    </row>
    <row r="75" spans="1:4" x14ac:dyDescent="0.3">
      <c r="A75">
        <v>1511.52</v>
      </c>
      <c r="B75">
        <v>16.11</v>
      </c>
      <c r="C75">
        <v>1559.51</v>
      </c>
      <c r="D75">
        <v>0.62</v>
      </c>
    </row>
    <row r="76" spans="1:4" x14ac:dyDescent="0.3">
      <c r="A76">
        <v>1548.52</v>
      </c>
      <c r="B76">
        <v>15.82</v>
      </c>
      <c r="C76">
        <v>1466.48</v>
      </c>
      <c r="D76">
        <v>0.68</v>
      </c>
    </row>
    <row r="77" spans="1:4" x14ac:dyDescent="0.3">
      <c r="A77">
        <v>1523.64</v>
      </c>
      <c r="B77">
        <v>19.670000000000002</v>
      </c>
      <c r="C77">
        <v>1848.68</v>
      </c>
      <c r="D77">
        <v>0.66</v>
      </c>
    </row>
    <row r="78" spans="1:4" x14ac:dyDescent="0.3">
      <c r="A78">
        <v>1738.67</v>
      </c>
      <c r="B78">
        <v>21.55</v>
      </c>
      <c r="C78">
        <v>1770.76</v>
      </c>
      <c r="D78">
        <v>0.71</v>
      </c>
    </row>
    <row r="79" spans="1:4" x14ac:dyDescent="0.3">
      <c r="A79">
        <v>1693.57</v>
      </c>
      <c r="B79">
        <v>21.07</v>
      </c>
      <c r="C79">
        <v>1571.75</v>
      </c>
      <c r="D79">
        <v>0.71</v>
      </c>
    </row>
    <row r="80" spans="1:4" x14ac:dyDescent="0.3">
      <c r="A80">
        <v>1570.06</v>
      </c>
      <c r="B80">
        <v>21.62</v>
      </c>
      <c r="C80">
        <v>1574.07</v>
      </c>
      <c r="D80">
        <v>0.64</v>
      </c>
    </row>
    <row r="81" spans="1:4" x14ac:dyDescent="0.3">
      <c r="A81">
        <v>1682.86</v>
      </c>
      <c r="B81">
        <v>18.690000000000001</v>
      </c>
      <c r="C81">
        <v>1797.11</v>
      </c>
      <c r="D81">
        <v>0.68</v>
      </c>
    </row>
    <row r="82" spans="1:4" x14ac:dyDescent="0.3">
      <c r="A82">
        <v>1571.87</v>
      </c>
      <c r="B82">
        <v>17.73</v>
      </c>
      <c r="C82">
        <v>1613.26</v>
      </c>
      <c r="D82">
        <v>0.64</v>
      </c>
    </row>
    <row r="83" spans="1:4" x14ac:dyDescent="0.3">
      <c r="A83">
        <v>1510.13</v>
      </c>
      <c r="B83">
        <v>16.71</v>
      </c>
      <c r="C83">
        <v>1476.32</v>
      </c>
      <c r="D83">
        <v>0.65</v>
      </c>
    </row>
    <row r="84" spans="1:4" x14ac:dyDescent="0.3">
      <c r="A84">
        <v>1490.86</v>
      </c>
      <c r="B84">
        <v>18.27</v>
      </c>
      <c r="C84">
        <v>1581.48</v>
      </c>
      <c r="D84">
        <v>0.59</v>
      </c>
    </row>
    <row r="85" spans="1:4" x14ac:dyDescent="0.3">
      <c r="A85">
        <v>1533.09</v>
      </c>
      <c r="B85">
        <v>16.920000000000002</v>
      </c>
      <c r="C85">
        <v>1673.37</v>
      </c>
      <c r="D85">
        <v>0.56999999999999995</v>
      </c>
    </row>
    <row r="86" spans="1:4" x14ac:dyDescent="0.3">
      <c r="A86">
        <v>1592.89</v>
      </c>
      <c r="B86">
        <v>16.600000000000001</v>
      </c>
      <c r="C86">
        <v>1642.03</v>
      </c>
      <c r="D86">
        <v>0.72</v>
      </c>
    </row>
    <row r="87" spans="1:4" x14ac:dyDescent="0.3">
      <c r="A87">
        <v>1608.76</v>
      </c>
      <c r="B87">
        <v>21.32</v>
      </c>
      <c r="C87">
        <v>1745.21</v>
      </c>
      <c r="D87">
        <v>0.68</v>
      </c>
    </row>
    <row r="88" spans="1:4" x14ac:dyDescent="0.3">
      <c r="A88">
        <v>1547.63</v>
      </c>
      <c r="B88">
        <v>40.4</v>
      </c>
      <c r="C88">
        <v>1565.76</v>
      </c>
      <c r="D88">
        <v>0.77</v>
      </c>
    </row>
    <row r="89" spans="1:4" x14ac:dyDescent="0.3">
      <c r="A89">
        <v>1640.18</v>
      </c>
      <c r="B89">
        <v>21.01</v>
      </c>
      <c r="C89">
        <v>1575.55</v>
      </c>
      <c r="D89">
        <v>0.72</v>
      </c>
    </row>
    <row r="90" spans="1:4" x14ac:dyDescent="0.3">
      <c r="A90">
        <v>1649.06</v>
      </c>
      <c r="B90">
        <v>25.83</v>
      </c>
      <c r="C90">
        <v>1563.57</v>
      </c>
      <c r="D90">
        <v>0.73</v>
      </c>
    </row>
    <row r="91" spans="1:4" x14ac:dyDescent="0.3">
      <c r="A91">
        <v>1641.42</v>
      </c>
      <c r="B91">
        <v>16.14</v>
      </c>
      <c r="C91">
        <v>1553.32</v>
      </c>
      <c r="D91">
        <v>0.69</v>
      </c>
    </row>
    <row r="92" spans="1:4" x14ac:dyDescent="0.3">
      <c r="A92">
        <v>1807.27</v>
      </c>
      <c r="B92">
        <v>27.93</v>
      </c>
      <c r="C92">
        <v>2049.27</v>
      </c>
      <c r="D92">
        <v>0.7</v>
      </c>
    </row>
    <row r="93" spans="1:4" x14ac:dyDescent="0.3">
      <c r="A93">
        <v>1815.74</v>
      </c>
      <c r="B93">
        <v>34.049999999999997</v>
      </c>
      <c r="C93">
        <v>1847.67</v>
      </c>
      <c r="D93">
        <v>1.83</v>
      </c>
    </row>
    <row r="94" spans="1:4" x14ac:dyDescent="0.3">
      <c r="A94">
        <v>1723.06</v>
      </c>
      <c r="B94">
        <v>35.74</v>
      </c>
      <c r="C94">
        <v>1903.65</v>
      </c>
      <c r="D94">
        <v>0.66</v>
      </c>
    </row>
    <row r="95" spans="1:4" x14ac:dyDescent="0.3">
      <c r="A95">
        <v>2382.63</v>
      </c>
      <c r="B95">
        <v>37.049999999999997</v>
      </c>
      <c r="C95">
        <v>1786.93</v>
      </c>
      <c r="D95">
        <v>0.64</v>
      </c>
    </row>
    <row r="96" spans="1:4" x14ac:dyDescent="0.3">
      <c r="A96">
        <v>1576.2</v>
      </c>
      <c r="B96">
        <v>36.409999999999997</v>
      </c>
      <c r="C96">
        <v>1505.83</v>
      </c>
      <c r="D96">
        <v>0.7</v>
      </c>
    </row>
    <row r="97" spans="1:4" x14ac:dyDescent="0.3">
      <c r="A97">
        <v>1638.94</v>
      </c>
      <c r="B97">
        <v>25.92</v>
      </c>
      <c r="C97">
        <v>1797.55</v>
      </c>
      <c r="D97">
        <v>0.67</v>
      </c>
    </row>
    <row r="98" spans="1:4" x14ac:dyDescent="0.3">
      <c r="A98">
        <v>1734.68</v>
      </c>
      <c r="B98">
        <v>30.11</v>
      </c>
      <c r="C98">
        <v>1583.96</v>
      </c>
      <c r="D98">
        <v>0.89</v>
      </c>
    </row>
    <row r="99" spans="1:4" x14ac:dyDescent="0.3">
      <c r="A99">
        <v>1475.82</v>
      </c>
      <c r="B99">
        <v>21.15</v>
      </c>
      <c r="C99">
        <v>1492.04</v>
      </c>
      <c r="D99">
        <v>0.68</v>
      </c>
    </row>
    <row r="100" spans="1:4" x14ac:dyDescent="0.3">
      <c r="A100">
        <v>1504.41</v>
      </c>
      <c r="B100">
        <v>19.27</v>
      </c>
      <c r="C100">
        <v>1582.77</v>
      </c>
      <c r="D100">
        <v>0.66</v>
      </c>
    </row>
    <row r="101" spans="1:4" x14ac:dyDescent="0.3">
      <c r="A101">
        <v>1498</v>
      </c>
      <c r="B101">
        <v>22.85</v>
      </c>
      <c r="C101">
        <v>1559.06</v>
      </c>
      <c r="D101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7DEE-7D34-4EBE-8CD0-8684E441FFEA}">
  <dimension ref="A1:M101"/>
  <sheetViews>
    <sheetView workbookViewId="0">
      <selection activeCell="G21" sqref="G21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1366.47</v>
      </c>
      <c r="B2">
        <v>24.33</v>
      </c>
      <c r="C2">
        <v>1443.74</v>
      </c>
      <c r="D2">
        <v>0.76</v>
      </c>
      <c r="H2" t="s">
        <v>21</v>
      </c>
      <c r="I2" s="4">
        <f>AVERAGE(A$2:A$101)</f>
        <v>1303.2593999999999</v>
      </c>
      <c r="J2" s="4">
        <f>AVERAGE(B$2:B$101)</f>
        <v>19.517600000000002</v>
      </c>
      <c r="K2" s="4">
        <f>AVERAGE(C$2:C$101)</f>
        <v>1302.7999999999995</v>
      </c>
      <c r="L2" s="4">
        <f t="shared" ref="L2" si="0">AVERAGE(D$2:D$101)</f>
        <v>0.97390000000000032</v>
      </c>
      <c r="M2" s="4"/>
    </row>
    <row r="3" spans="1:13" x14ac:dyDescent="0.3">
      <c r="A3">
        <v>1462.19</v>
      </c>
      <c r="B3">
        <v>40.340000000000003</v>
      </c>
      <c r="C3">
        <v>1376.8</v>
      </c>
      <c r="D3">
        <v>0.91</v>
      </c>
      <c r="H3" t="s">
        <v>17</v>
      </c>
      <c r="I3" s="4">
        <f>MEDIAN(A$2:A$101)</f>
        <v>1271.0350000000001</v>
      </c>
      <c r="J3" s="4">
        <f t="shared" ref="J3:L3" si="1">MEDIAN(B$2:B$101)</f>
        <v>18.13</v>
      </c>
      <c r="K3" s="4">
        <f t="shared" si="1"/>
        <v>1281.94</v>
      </c>
      <c r="L3" s="4">
        <f t="shared" si="1"/>
        <v>0.76500000000000001</v>
      </c>
      <c r="M3" s="4"/>
    </row>
    <row r="4" spans="1:13" x14ac:dyDescent="0.3">
      <c r="A4">
        <v>1476.79</v>
      </c>
      <c r="B4">
        <v>15.61</v>
      </c>
      <c r="C4">
        <v>1461.24</v>
      </c>
      <c r="D4">
        <v>0.76</v>
      </c>
      <c r="H4" t="s">
        <v>18</v>
      </c>
      <c r="I4" s="4">
        <f>_xlfn.STDEV.S(A$2:A$101)</f>
        <v>167.70673997177585</v>
      </c>
      <c r="J4" s="4">
        <f t="shared" ref="J4:L4" si="2">_xlfn.STDEV.S(B$2:B$101)</f>
        <v>5.2894010888557039</v>
      </c>
      <c r="K4" s="4">
        <f t="shared" si="2"/>
        <v>130.74933564541416</v>
      </c>
      <c r="L4" s="4">
        <f t="shared" si="2"/>
        <v>1.7171516790571781</v>
      </c>
      <c r="M4" s="4"/>
    </row>
    <row r="5" spans="1:13" x14ac:dyDescent="0.3">
      <c r="A5">
        <v>1389.75</v>
      </c>
      <c r="B5">
        <v>15.19</v>
      </c>
      <c r="C5">
        <v>1408.74</v>
      </c>
      <c r="D5">
        <v>0.78</v>
      </c>
    </row>
    <row r="6" spans="1:13" x14ac:dyDescent="0.3">
      <c r="A6">
        <v>1266.9000000000001</v>
      </c>
      <c r="B6">
        <v>14.56</v>
      </c>
      <c r="C6">
        <v>1347.08</v>
      </c>
      <c r="D6">
        <v>0.79</v>
      </c>
    </row>
    <row r="7" spans="1:13" x14ac:dyDescent="0.3">
      <c r="A7">
        <v>1282.42</v>
      </c>
      <c r="B7">
        <v>19.84</v>
      </c>
      <c r="C7">
        <v>1383.04</v>
      </c>
      <c r="D7">
        <v>0.93</v>
      </c>
    </row>
    <row r="8" spans="1:13" x14ac:dyDescent="0.3">
      <c r="A8">
        <v>1233.2</v>
      </c>
      <c r="B8">
        <v>15.86</v>
      </c>
      <c r="C8">
        <v>1288.56</v>
      </c>
      <c r="D8">
        <v>1.01</v>
      </c>
    </row>
    <row r="9" spans="1:13" x14ac:dyDescent="0.3">
      <c r="A9">
        <v>1256.56</v>
      </c>
      <c r="B9">
        <v>26.75</v>
      </c>
      <c r="C9">
        <v>1423.36</v>
      </c>
      <c r="D9">
        <v>0.81</v>
      </c>
    </row>
    <row r="10" spans="1:13" x14ac:dyDescent="0.3">
      <c r="A10">
        <v>1255.48</v>
      </c>
      <c r="B10">
        <v>20.89</v>
      </c>
      <c r="C10">
        <v>1268.8800000000001</v>
      </c>
      <c r="D10">
        <v>0.82</v>
      </c>
    </row>
    <row r="11" spans="1:13" x14ac:dyDescent="0.3">
      <c r="A11">
        <v>1251.72</v>
      </c>
      <c r="B11">
        <v>29.41</v>
      </c>
      <c r="C11">
        <v>1322.11</v>
      </c>
      <c r="D11">
        <v>0.88</v>
      </c>
    </row>
    <row r="12" spans="1:13" x14ac:dyDescent="0.3">
      <c r="A12">
        <v>1335.25</v>
      </c>
      <c r="B12">
        <v>22.6</v>
      </c>
      <c r="C12">
        <v>1383.6</v>
      </c>
      <c r="D12">
        <v>0.75</v>
      </c>
    </row>
    <row r="13" spans="1:13" x14ac:dyDescent="0.3">
      <c r="A13">
        <v>1276.32</v>
      </c>
      <c r="B13">
        <v>26.68</v>
      </c>
      <c r="C13">
        <v>1256.69</v>
      </c>
      <c r="D13">
        <v>0.84</v>
      </c>
    </row>
    <row r="14" spans="1:13" x14ac:dyDescent="0.3">
      <c r="A14">
        <v>1491.39</v>
      </c>
      <c r="B14">
        <v>16.170000000000002</v>
      </c>
      <c r="C14">
        <v>1247.04</v>
      </c>
      <c r="D14">
        <v>0.8</v>
      </c>
    </row>
    <row r="15" spans="1:13" x14ac:dyDescent="0.3">
      <c r="A15">
        <v>1228.1199999999999</v>
      </c>
      <c r="B15">
        <v>21.11</v>
      </c>
      <c r="C15">
        <v>1288.8800000000001</v>
      </c>
      <c r="D15">
        <v>0.81</v>
      </c>
    </row>
    <row r="16" spans="1:13" x14ac:dyDescent="0.3">
      <c r="A16">
        <v>1310.48</v>
      </c>
      <c r="B16">
        <v>15.13</v>
      </c>
      <c r="C16">
        <v>1269.0999999999999</v>
      </c>
      <c r="D16">
        <v>0.7</v>
      </c>
    </row>
    <row r="17" spans="1:4" x14ac:dyDescent="0.3">
      <c r="A17">
        <v>1345.27</v>
      </c>
      <c r="B17">
        <v>20.72</v>
      </c>
      <c r="C17">
        <v>1479.94</v>
      </c>
      <c r="D17">
        <v>0.82</v>
      </c>
    </row>
    <row r="18" spans="1:4" x14ac:dyDescent="0.3">
      <c r="A18">
        <v>1252.93</v>
      </c>
      <c r="B18">
        <v>15.28</v>
      </c>
      <c r="C18">
        <v>1203.4000000000001</v>
      </c>
      <c r="D18">
        <v>0.68</v>
      </c>
    </row>
    <row r="19" spans="1:4" x14ac:dyDescent="0.3">
      <c r="A19">
        <v>1084.1400000000001</v>
      </c>
      <c r="B19">
        <v>14.69</v>
      </c>
      <c r="C19">
        <v>1138</v>
      </c>
      <c r="D19">
        <v>0.72</v>
      </c>
    </row>
    <row r="20" spans="1:4" x14ac:dyDescent="0.3">
      <c r="A20">
        <v>1701.45</v>
      </c>
      <c r="B20">
        <v>15.01</v>
      </c>
      <c r="C20">
        <v>1160.58</v>
      </c>
      <c r="D20">
        <v>0.72</v>
      </c>
    </row>
    <row r="21" spans="1:4" x14ac:dyDescent="0.3">
      <c r="A21">
        <v>1190.7</v>
      </c>
      <c r="B21">
        <v>16.39</v>
      </c>
      <c r="C21">
        <v>1186.24</v>
      </c>
      <c r="D21">
        <v>0.71</v>
      </c>
    </row>
    <row r="22" spans="1:4" x14ac:dyDescent="0.3">
      <c r="A22">
        <v>1258.8399999999999</v>
      </c>
      <c r="B22">
        <v>17.239999999999998</v>
      </c>
      <c r="C22">
        <v>1319.27</v>
      </c>
      <c r="D22">
        <v>0.71</v>
      </c>
    </row>
    <row r="23" spans="1:4" x14ac:dyDescent="0.3">
      <c r="A23">
        <v>1168.44</v>
      </c>
      <c r="B23">
        <v>18.7</v>
      </c>
      <c r="C23">
        <v>1198.8699999999999</v>
      </c>
      <c r="D23">
        <v>0.7</v>
      </c>
    </row>
    <row r="24" spans="1:4" x14ac:dyDescent="0.3">
      <c r="A24">
        <v>1450.2</v>
      </c>
      <c r="B24">
        <v>16.52</v>
      </c>
      <c r="C24">
        <v>1438.31</v>
      </c>
      <c r="D24">
        <v>0.8</v>
      </c>
    </row>
    <row r="25" spans="1:4" x14ac:dyDescent="0.3">
      <c r="A25">
        <v>1483.64</v>
      </c>
      <c r="B25">
        <v>39.61</v>
      </c>
      <c r="C25">
        <v>1290.9000000000001</v>
      </c>
      <c r="D25">
        <v>0.69</v>
      </c>
    </row>
    <row r="26" spans="1:4" x14ac:dyDescent="0.3">
      <c r="A26">
        <v>1244.1600000000001</v>
      </c>
      <c r="B26">
        <v>15.51</v>
      </c>
      <c r="C26">
        <v>1195.7</v>
      </c>
      <c r="D26">
        <v>0.81</v>
      </c>
    </row>
    <row r="27" spans="1:4" x14ac:dyDescent="0.3">
      <c r="A27">
        <v>1279.06</v>
      </c>
      <c r="B27">
        <v>20.9</v>
      </c>
      <c r="C27">
        <v>1555.64</v>
      </c>
      <c r="D27">
        <v>0.77</v>
      </c>
    </row>
    <row r="28" spans="1:4" x14ac:dyDescent="0.3">
      <c r="A28">
        <v>1366.44</v>
      </c>
      <c r="B28">
        <v>25.7</v>
      </c>
      <c r="C28">
        <v>1381.16</v>
      </c>
      <c r="D28">
        <v>0.78</v>
      </c>
    </row>
    <row r="29" spans="1:4" x14ac:dyDescent="0.3">
      <c r="A29">
        <v>1324.58</v>
      </c>
      <c r="B29">
        <v>15.24</v>
      </c>
      <c r="C29">
        <v>1217.77</v>
      </c>
      <c r="D29">
        <v>0.74</v>
      </c>
    </row>
    <row r="30" spans="1:4" x14ac:dyDescent="0.3">
      <c r="A30">
        <v>1342.31</v>
      </c>
      <c r="B30">
        <v>20.25</v>
      </c>
      <c r="C30">
        <v>1361.6</v>
      </c>
      <c r="D30">
        <v>0.72</v>
      </c>
    </row>
    <row r="31" spans="1:4" x14ac:dyDescent="0.3">
      <c r="A31">
        <v>1357.97</v>
      </c>
      <c r="B31">
        <v>20.350000000000001</v>
      </c>
      <c r="C31">
        <v>1394.4</v>
      </c>
      <c r="D31">
        <v>0.71</v>
      </c>
    </row>
    <row r="32" spans="1:4" x14ac:dyDescent="0.3">
      <c r="A32">
        <v>1514.79</v>
      </c>
      <c r="B32">
        <v>20.5</v>
      </c>
      <c r="C32">
        <v>1417.07</v>
      </c>
      <c r="D32">
        <v>0.79</v>
      </c>
    </row>
    <row r="33" spans="1:4" x14ac:dyDescent="0.3">
      <c r="A33">
        <v>1254.6600000000001</v>
      </c>
      <c r="B33">
        <v>16.21</v>
      </c>
      <c r="C33">
        <v>1256.31</v>
      </c>
      <c r="D33">
        <v>0.73</v>
      </c>
    </row>
    <row r="34" spans="1:4" x14ac:dyDescent="0.3">
      <c r="A34">
        <v>1279.93</v>
      </c>
      <c r="B34">
        <v>22.26</v>
      </c>
      <c r="C34">
        <v>1339.9</v>
      </c>
      <c r="D34">
        <v>0.68</v>
      </c>
    </row>
    <row r="35" spans="1:4" x14ac:dyDescent="0.3">
      <c r="A35">
        <v>1246.43</v>
      </c>
      <c r="B35">
        <v>21.41</v>
      </c>
      <c r="C35">
        <v>1222.94</v>
      </c>
      <c r="D35">
        <v>0.7</v>
      </c>
    </row>
    <row r="36" spans="1:4" x14ac:dyDescent="0.3">
      <c r="A36">
        <v>1254.3</v>
      </c>
      <c r="B36">
        <v>14.58</v>
      </c>
      <c r="C36">
        <v>1227.2</v>
      </c>
      <c r="D36">
        <v>0.75</v>
      </c>
    </row>
    <row r="37" spans="1:4" x14ac:dyDescent="0.3">
      <c r="A37">
        <v>1215.57</v>
      </c>
      <c r="B37">
        <v>18.850000000000001</v>
      </c>
      <c r="C37">
        <v>1466.52</v>
      </c>
      <c r="D37">
        <v>0.96</v>
      </c>
    </row>
    <row r="38" spans="1:4" x14ac:dyDescent="0.3">
      <c r="A38">
        <v>1254.33</v>
      </c>
      <c r="B38">
        <v>15.22</v>
      </c>
      <c r="C38">
        <v>1263.42</v>
      </c>
      <c r="D38">
        <v>0.91</v>
      </c>
    </row>
    <row r="39" spans="1:4" x14ac:dyDescent="0.3">
      <c r="A39">
        <v>1365.99</v>
      </c>
      <c r="B39">
        <v>20.09</v>
      </c>
      <c r="C39">
        <v>1463.29</v>
      </c>
      <c r="D39">
        <v>0.91</v>
      </c>
    </row>
    <row r="40" spans="1:4" x14ac:dyDescent="0.3">
      <c r="A40">
        <v>1295.98</v>
      </c>
      <c r="B40">
        <v>15.05</v>
      </c>
      <c r="C40">
        <v>1119.04</v>
      </c>
      <c r="D40">
        <v>0.78</v>
      </c>
    </row>
    <row r="41" spans="1:4" x14ac:dyDescent="0.3">
      <c r="A41">
        <v>1146.08</v>
      </c>
      <c r="B41">
        <v>18.309999999999999</v>
      </c>
      <c r="C41">
        <v>1142.44</v>
      </c>
      <c r="D41">
        <v>0.74</v>
      </c>
    </row>
    <row r="42" spans="1:4" x14ac:dyDescent="0.3">
      <c r="A42">
        <v>1451.83</v>
      </c>
      <c r="B42">
        <v>22.2</v>
      </c>
      <c r="C42">
        <v>1573.11</v>
      </c>
      <c r="D42">
        <v>1.95</v>
      </c>
    </row>
    <row r="43" spans="1:4" x14ac:dyDescent="0.3">
      <c r="A43">
        <v>2518.3200000000002</v>
      </c>
      <c r="B43">
        <v>33.31</v>
      </c>
      <c r="C43">
        <v>1703.04</v>
      </c>
      <c r="D43">
        <v>0.73</v>
      </c>
    </row>
    <row r="44" spans="1:4" x14ac:dyDescent="0.3">
      <c r="A44">
        <v>1639.17</v>
      </c>
      <c r="B44">
        <v>17.71</v>
      </c>
      <c r="C44">
        <v>1500.26</v>
      </c>
      <c r="D44">
        <v>0.68</v>
      </c>
    </row>
    <row r="45" spans="1:4" x14ac:dyDescent="0.3">
      <c r="A45">
        <v>1760.45</v>
      </c>
      <c r="B45">
        <v>23.2</v>
      </c>
      <c r="C45">
        <v>1787.44</v>
      </c>
      <c r="D45">
        <v>0.84</v>
      </c>
    </row>
    <row r="46" spans="1:4" x14ac:dyDescent="0.3">
      <c r="A46">
        <v>1337.16</v>
      </c>
      <c r="B46">
        <v>17.3</v>
      </c>
      <c r="C46">
        <v>1369.94</v>
      </c>
      <c r="D46">
        <v>0.75</v>
      </c>
    </row>
    <row r="47" spans="1:4" x14ac:dyDescent="0.3">
      <c r="A47">
        <v>1311.4</v>
      </c>
      <c r="B47">
        <v>16.850000000000001</v>
      </c>
      <c r="C47">
        <v>1358.77</v>
      </c>
      <c r="D47">
        <v>0.77</v>
      </c>
    </row>
    <row r="48" spans="1:4" x14ac:dyDescent="0.3">
      <c r="A48">
        <v>1170.69</v>
      </c>
      <c r="B48">
        <v>16.54</v>
      </c>
      <c r="C48">
        <v>1347.97</v>
      </c>
      <c r="D48">
        <v>0.94</v>
      </c>
    </row>
    <row r="49" spans="1:4" x14ac:dyDescent="0.3">
      <c r="A49">
        <v>1276.9100000000001</v>
      </c>
      <c r="B49">
        <v>41.05</v>
      </c>
      <c r="C49">
        <v>1181.9000000000001</v>
      </c>
      <c r="D49">
        <v>0.83</v>
      </c>
    </row>
    <row r="50" spans="1:4" x14ac:dyDescent="0.3">
      <c r="A50">
        <v>1261.3599999999999</v>
      </c>
      <c r="B50">
        <v>15.71</v>
      </c>
      <c r="C50">
        <v>1173.9100000000001</v>
      </c>
      <c r="D50">
        <v>0.82</v>
      </c>
    </row>
    <row r="51" spans="1:4" x14ac:dyDescent="0.3">
      <c r="A51">
        <v>1236.5899999999999</v>
      </c>
      <c r="B51">
        <v>15.16</v>
      </c>
      <c r="C51">
        <v>1196.57</v>
      </c>
      <c r="D51">
        <v>0.84</v>
      </c>
    </row>
    <row r="52" spans="1:4" x14ac:dyDescent="0.3">
      <c r="A52">
        <v>1188.5999999999999</v>
      </c>
      <c r="B52">
        <v>17.13</v>
      </c>
      <c r="C52">
        <v>1283.1099999999999</v>
      </c>
      <c r="D52">
        <v>0.85</v>
      </c>
    </row>
    <row r="53" spans="1:4" x14ac:dyDescent="0.3">
      <c r="A53">
        <v>1234.5999999999999</v>
      </c>
      <c r="B53">
        <v>16.940000000000001</v>
      </c>
      <c r="C53">
        <v>1164.06</v>
      </c>
      <c r="D53">
        <v>0.87</v>
      </c>
    </row>
    <row r="54" spans="1:4" x14ac:dyDescent="0.3">
      <c r="A54">
        <v>1175.3399999999999</v>
      </c>
      <c r="B54">
        <v>22.4</v>
      </c>
      <c r="C54">
        <v>1235.98</v>
      </c>
      <c r="D54">
        <v>0.76</v>
      </c>
    </row>
    <row r="55" spans="1:4" x14ac:dyDescent="0.3">
      <c r="A55">
        <v>1259.25</v>
      </c>
      <c r="B55">
        <v>14.81</v>
      </c>
      <c r="C55">
        <v>1125.7</v>
      </c>
      <c r="D55">
        <v>0.83</v>
      </c>
    </row>
    <row r="56" spans="1:4" x14ac:dyDescent="0.3">
      <c r="A56">
        <v>1167.96</v>
      </c>
      <c r="B56">
        <v>14.84</v>
      </c>
      <c r="C56">
        <v>1095.8</v>
      </c>
      <c r="D56">
        <v>0.78</v>
      </c>
    </row>
    <row r="57" spans="1:4" x14ac:dyDescent="0.3">
      <c r="A57">
        <v>1296.55</v>
      </c>
      <c r="B57">
        <v>25.97</v>
      </c>
      <c r="C57">
        <v>1496.49</v>
      </c>
      <c r="D57">
        <v>0.78</v>
      </c>
    </row>
    <row r="58" spans="1:4" x14ac:dyDescent="0.3">
      <c r="A58">
        <v>1242.8399999999999</v>
      </c>
      <c r="B58">
        <v>18.04</v>
      </c>
      <c r="C58">
        <v>1245.18</v>
      </c>
      <c r="D58">
        <v>0.76</v>
      </c>
    </row>
    <row r="59" spans="1:4" x14ac:dyDescent="0.3">
      <c r="A59">
        <v>1210.17</v>
      </c>
      <c r="B59">
        <v>19.82</v>
      </c>
      <c r="C59">
        <v>1209.08</v>
      </c>
      <c r="D59">
        <v>0.76</v>
      </c>
    </row>
    <row r="60" spans="1:4" x14ac:dyDescent="0.3">
      <c r="A60">
        <v>1206.06</v>
      </c>
      <c r="B60">
        <v>15.16</v>
      </c>
      <c r="C60">
        <v>1211.54</v>
      </c>
      <c r="D60">
        <v>0.78</v>
      </c>
    </row>
    <row r="61" spans="1:4" x14ac:dyDescent="0.3">
      <c r="A61">
        <v>1250.3399999999999</v>
      </c>
      <c r="B61">
        <v>14.9</v>
      </c>
      <c r="C61">
        <v>1194.52</v>
      </c>
      <c r="D61">
        <v>0.73</v>
      </c>
    </row>
    <row r="62" spans="1:4" x14ac:dyDescent="0.3">
      <c r="A62">
        <v>1262.71</v>
      </c>
      <c r="B62">
        <v>16.190000000000001</v>
      </c>
      <c r="C62">
        <v>1390.48</v>
      </c>
      <c r="D62">
        <v>0.77</v>
      </c>
    </row>
    <row r="63" spans="1:4" x14ac:dyDescent="0.3">
      <c r="A63">
        <v>1195.44</v>
      </c>
      <c r="B63">
        <v>17.989999999999998</v>
      </c>
      <c r="C63">
        <v>1234.8599999999999</v>
      </c>
      <c r="D63">
        <v>0.74</v>
      </c>
    </row>
    <row r="64" spans="1:4" x14ac:dyDescent="0.3">
      <c r="A64">
        <v>1196.18</v>
      </c>
      <c r="B64">
        <v>20.02</v>
      </c>
      <c r="C64">
        <v>1159.71</v>
      </c>
      <c r="D64">
        <v>0.75</v>
      </c>
    </row>
    <row r="65" spans="1:4" x14ac:dyDescent="0.3">
      <c r="A65">
        <v>1163.96</v>
      </c>
      <c r="B65">
        <v>19.899999999999999</v>
      </c>
      <c r="C65">
        <v>1122.26</v>
      </c>
      <c r="D65">
        <v>0.7</v>
      </c>
    </row>
    <row r="66" spans="1:4" x14ac:dyDescent="0.3">
      <c r="A66">
        <v>1146.25</v>
      </c>
      <c r="B66">
        <v>14.92</v>
      </c>
      <c r="C66">
        <v>1109.1199999999999</v>
      </c>
      <c r="D66">
        <v>0.72</v>
      </c>
    </row>
    <row r="67" spans="1:4" x14ac:dyDescent="0.3">
      <c r="A67">
        <v>1280.5899999999999</v>
      </c>
      <c r="B67">
        <v>16.649999999999999</v>
      </c>
      <c r="C67">
        <v>1528.28</v>
      </c>
      <c r="D67">
        <v>0.83</v>
      </c>
    </row>
    <row r="68" spans="1:4" x14ac:dyDescent="0.3">
      <c r="A68">
        <v>1283.5899999999999</v>
      </c>
      <c r="B68">
        <v>19.170000000000002</v>
      </c>
      <c r="C68">
        <v>1217.83</v>
      </c>
      <c r="D68">
        <v>1.1200000000000001</v>
      </c>
    </row>
    <row r="69" spans="1:4" x14ac:dyDescent="0.3">
      <c r="A69">
        <v>1294.21</v>
      </c>
      <c r="B69">
        <v>15.24</v>
      </c>
      <c r="C69">
        <v>1207.03</v>
      </c>
      <c r="D69">
        <v>0.78</v>
      </c>
    </row>
    <row r="70" spans="1:4" x14ac:dyDescent="0.3">
      <c r="A70">
        <v>1252.51</v>
      </c>
      <c r="B70">
        <v>28.23</v>
      </c>
      <c r="C70">
        <v>1188.45</v>
      </c>
      <c r="D70">
        <v>0.76</v>
      </c>
    </row>
    <row r="71" spans="1:4" x14ac:dyDescent="0.3">
      <c r="A71">
        <v>1230.5999999999999</v>
      </c>
      <c r="B71">
        <v>15.33</v>
      </c>
      <c r="C71">
        <v>1306.77</v>
      </c>
      <c r="D71">
        <v>17.899999999999999</v>
      </c>
    </row>
    <row r="72" spans="1:4" x14ac:dyDescent="0.3">
      <c r="A72">
        <v>1202.19</v>
      </c>
      <c r="B72">
        <v>19.48</v>
      </c>
      <c r="C72">
        <v>1419.4</v>
      </c>
      <c r="D72">
        <v>0.87</v>
      </c>
    </row>
    <row r="73" spans="1:4" x14ac:dyDescent="0.3">
      <c r="A73">
        <v>1335.38</v>
      </c>
      <c r="B73">
        <v>17.14</v>
      </c>
      <c r="C73">
        <v>1250.9000000000001</v>
      </c>
      <c r="D73">
        <v>0.76</v>
      </c>
    </row>
    <row r="74" spans="1:4" x14ac:dyDescent="0.3">
      <c r="A74">
        <v>1275.17</v>
      </c>
      <c r="B74">
        <v>20.51</v>
      </c>
      <c r="C74">
        <v>1276.3900000000001</v>
      </c>
      <c r="D74">
        <v>0.89</v>
      </c>
    </row>
    <row r="75" spans="1:4" x14ac:dyDescent="0.3">
      <c r="A75">
        <v>1320.75</v>
      </c>
      <c r="B75">
        <v>20.96</v>
      </c>
      <c r="C75">
        <v>1294.06</v>
      </c>
      <c r="D75">
        <v>0.9</v>
      </c>
    </row>
    <row r="76" spans="1:4" x14ac:dyDescent="0.3">
      <c r="A76">
        <v>1289.18</v>
      </c>
      <c r="B76">
        <v>15.72</v>
      </c>
      <c r="C76">
        <v>1255.77</v>
      </c>
      <c r="D76">
        <v>0.76</v>
      </c>
    </row>
    <row r="77" spans="1:4" x14ac:dyDescent="0.3">
      <c r="A77">
        <v>1299.92</v>
      </c>
      <c r="B77">
        <v>20.8</v>
      </c>
      <c r="C77">
        <v>1484.98</v>
      </c>
      <c r="D77">
        <v>0.68</v>
      </c>
    </row>
    <row r="78" spans="1:4" x14ac:dyDescent="0.3">
      <c r="A78">
        <v>1261.8499999999999</v>
      </c>
      <c r="B78">
        <v>23.21</v>
      </c>
      <c r="C78">
        <v>1294.57</v>
      </c>
      <c r="D78">
        <v>0.69</v>
      </c>
    </row>
    <row r="79" spans="1:4" x14ac:dyDescent="0.3">
      <c r="A79">
        <v>1287.4000000000001</v>
      </c>
      <c r="B79">
        <v>19.329999999999998</v>
      </c>
      <c r="C79">
        <v>1280.77</v>
      </c>
      <c r="D79">
        <v>0.76</v>
      </c>
    </row>
    <row r="80" spans="1:4" x14ac:dyDescent="0.3">
      <c r="A80">
        <v>1302.8699999999999</v>
      </c>
      <c r="B80">
        <v>17.350000000000001</v>
      </c>
      <c r="C80">
        <v>1289.43</v>
      </c>
      <c r="D80">
        <v>0.82</v>
      </c>
    </row>
    <row r="81" spans="1:4" x14ac:dyDescent="0.3">
      <c r="A81">
        <v>1296.17</v>
      </c>
      <c r="B81">
        <v>18.37</v>
      </c>
      <c r="C81">
        <v>1289.03</v>
      </c>
      <c r="D81">
        <v>0.72</v>
      </c>
    </row>
    <row r="82" spans="1:4" x14ac:dyDescent="0.3">
      <c r="A82">
        <v>1297.71</v>
      </c>
      <c r="B82">
        <v>29.83</v>
      </c>
      <c r="C82">
        <v>1535.33</v>
      </c>
      <c r="D82">
        <v>0.91</v>
      </c>
    </row>
    <row r="83" spans="1:4" x14ac:dyDescent="0.3">
      <c r="A83">
        <v>1330.58</v>
      </c>
      <c r="B83">
        <v>18.47</v>
      </c>
      <c r="C83">
        <v>1254.06</v>
      </c>
      <c r="D83">
        <v>0.95</v>
      </c>
    </row>
    <row r="84" spans="1:4" x14ac:dyDescent="0.3">
      <c r="A84">
        <v>1240.54</v>
      </c>
      <c r="B84">
        <v>21.19</v>
      </c>
      <c r="C84">
        <v>1239.6500000000001</v>
      </c>
      <c r="D84">
        <v>0.91</v>
      </c>
    </row>
    <row r="85" spans="1:4" x14ac:dyDescent="0.3">
      <c r="A85">
        <v>1261.83</v>
      </c>
      <c r="B85">
        <v>23.04</v>
      </c>
      <c r="C85">
        <v>1244.8599999999999</v>
      </c>
      <c r="D85">
        <v>0.89</v>
      </c>
    </row>
    <row r="86" spans="1:4" x14ac:dyDescent="0.3">
      <c r="A86">
        <v>1241.22</v>
      </c>
      <c r="B86">
        <v>16.37</v>
      </c>
      <c r="C86">
        <v>1191.76</v>
      </c>
      <c r="D86">
        <v>1.24</v>
      </c>
    </row>
    <row r="87" spans="1:4" x14ac:dyDescent="0.3">
      <c r="A87">
        <v>1417.53</v>
      </c>
      <c r="B87">
        <v>20.87</v>
      </c>
      <c r="C87">
        <v>1493.14</v>
      </c>
      <c r="D87">
        <v>0.64</v>
      </c>
    </row>
    <row r="88" spans="1:4" x14ac:dyDescent="0.3">
      <c r="A88">
        <v>1170.9000000000001</v>
      </c>
      <c r="B88">
        <v>18.22</v>
      </c>
      <c r="C88">
        <v>1342.89</v>
      </c>
      <c r="D88">
        <v>0.65</v>
      </c>
    </row>
    <row r="89" spans="1:4" x14ac:dyDescent="0.3">
      <c r="A89">
        <v>1199.5999999999999</v>
      </c>
      <c r="B89">
        <v>16.37</v>
      </c>
      <c r="C89">
        <v>1293.76</v>
      </c>
      <c r="D89">
        <v>0.72</v>
      </c>
    </row>
    <row r="90" spans="1:4" x14ac:dyDescent="0.3">
      <c r="A90">
        <v>1293.08</v>
      </c>
      <c r="B90">
        <v>16.920000000000002</v>
      </c>
      <c r="C90">
        <v>1191.08</v>
      </c>
      <c r="D90">
        <v>0.68</v>
      </c>
    </row>
    <row r="91" spans="1:4" x14ac:dyDescent="0.3">
      <c r="A91">
        <v>1153.22</v>
      </c>
      <c r="B91">
        <v>16.28</v>
      </c>
      <c r="C91">
        <v>1223.69</v>
      </c>
      <c r="D91">
        <v>1.32</v>
      </c>
    </row>
    <row r="92" spans="1:4" x14ac:dyDescent="0.3">
      <c r="A92">
        <v>1190.54</v>
      </c>
      <c r="B92">
        <v>19.27</v>
      </c>
      <c r="C92">
        <v>1333.9</v>
      </c>
      <c r="D92">
        <v>0.77</v>
      </c>
    </row>
    <row r="93" spans="1:4" x14ac:dyDescent="0.3">
      <c r="A93">
        <v>1168.95</v>
      </c>
      <c r="B93">
        <v>22.07</v>
      </c>
      <c r="C93">
        <v>1192.6600000000001</v>
      </c>
      <c r="D93">
        <v>0.74</v>
      </c>
    </row>
    <row r="94" spans="1:4" x14ac:dyDescent="0.3">
      <c r="A94">
        <v>1175.25</v>
      </c>
      <c r="B94">
        <v>16.64</v>
      </c>
      <c r="C94">
        <v>1087.81</v>
      </c>
      <c r="D94">
        <v>0.69</v>
      </c>
    </row>
    <row r="95" spans="1:4" x14ac:dyDescent="0.3">
      <c r="A95">
        <v>1168</v>
      </c>
      <c r="B95">
        <v>15.02</v>
      </c>
      <c r="C95">
        <v>1137.1099999999999</v>
      </c>
      <c r="D95">
        <v>0.69</v>
      </c>
    </row>
    <row r="96" spans="1:4" x14ac:dyDescent="0.3">
      <c r="A96">
        <v>1146.08</v>
      </c>
      <c r="B96">
        <v>14.76</v>
      </c>
      <c r="C96">
        <v>1197.92</v>
      </c>
      <c r="D96">
        <v>0.75</v>
      </c>
    </row>
    <row r="97" spans="1:4" x14ac:dyDescent="0.3">
      <c r="A97">
        <v>1447.61</v>
      </c>
      <c r="B97">
        <v>22.49</v>
      </c>
      <c r="C97">
        <v>1360.3</v>
      </c>
      <c r="D97">
        <v>0.68</v>
      </c>
    </row>
    <row r="98" spans="1:4" x14ac:dyDescent="0.3">
      <c r="A98">
        <v>1275.51</v>
      </c>
      <c r="B98">
        <v>19.97</v>
      </c>
      <c r="C98">
        <v>1285.1500000000001</v>
      </c>
      <c r="D98">
        <v>0.76</v>
      </c>
    </row>
    <row r="99" spans="1:4" x14ac:dyDescent="0.3">
      <c r="A99">
        <v>1386.31</v>
      </c>
      <c r="B99">
        <v>16.72</v>
      </c>
      <c r="C99">
        <v>1422.59</v>
      </c>
      <c r="D99">
        <v>0.73</v>
      </c>
    </row>
    <row r="100" spans="1:4" x14ac:dyDescent="0.3">
      <c r="A100">
        <v>1522.18</v>
      </c>
      <c r="B100">
        <v>17.09</v>
      </c>
      <c r="C100">
        <v>1348.21</v>
      </c>
      <c r="D100">
        <v>0.65</v>
      </c>
    </row>
    <row r="101" spans="1:4" x14ac:dyDescent="0.3">
      <c r="A101">
        <v>1305.56</v>
      </c>
      <c r="B101">
        <v>15.56</v>
      </c>
      <c r="C101">
        <v>1240.9000000000001</v>
      </c>
      <c r="D101">
        <v>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5D7A-2ABB-4A4D-A20D-8B520D103A6D}">
  <dimension ref="A1:M101"/>
  <sheetViews>
    <sheetView workbookViewId="0">
      <selection activeCell="F19" sqref="F19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1566.74</v>
      </c>
      <c r="B2">
        <v>21.39</v>
      </c>
      <c r="C2">
        <v>1888.15</v>
      </c>
      <c r="D2">
        <v>0.68</v>
      </c>
      <c r="H2" t="s">
        <v>21</v>
      </c>
      <c r="I2" s="4">
        <f>AVERAGE(A$2:A$101)</f>
        <v>1550.6812</v>
      </c>
      <c r="J2" s="4">
        <f>AVERAGE(B$2:B$101)</f>
        <v>21.89820000000001</v>
      </c>
      <c r="K2" s="4">
        <f>AVERAGE(C$2:C$101)</f>
        <v>1539.0365999999997</v>
      </c>
      <c r="L2" s="4">
        <f t="shared" ref="L2" si="0">AVERAGE(D$2:D$101)</f>
        <v>1.6500999999999992</v>
      </c>
      <c r="M2" s="4"/>
    </row>
    <row r="3" spans="1:13" x14ac:dyDescent="0.3">
      <c r="A3">
        <v>1726.86</v>
      </c>
      <c r="B3">
        <v>44.72</v>
      </c>
      <c r="C3">
        <v>1754.25</v>
      </c>
      <c r="D3">
        <v>92.12</v>
      </c>
      <c r="H3" t="s">
        <v>17</v>
      </c>
      <c r="I3" s="4">
        <f>MEDIAN(A$2:A$101)</f>
        <v>1494.6949999999999</v>
      </c>
      <c r="J3" s="4">
        <f t="shared" ref="J3:L3" si="1">MEDIAN(B$2:B$101)</f>
        <v>20.16</v>
      </c>
      <c r="K3" s="4">
        <f t="shared" si="1"/>
        <v>1505.38</v>
      </c>
      <c r="L3" s="4">
        <f t="shared" si="1"/>
        <v>0.68</v>
      </c>
      <c r="M3" s="4"/>
    </row>
    <row r="4" spans="1:13" x14ac:dyDescent="0.3">
      <c r="A4">
        <v>1795.3</v>
      </c>
      <c r="B4">
        <v>28.59</v>
      </c>
      <c r="C4">
        <v>1859.59</v>
      </c>
      <c r="D4">
        <v>0.68</v>
      </c>
      <c r="H4" t="s">
        <v>18</v>
      </c>
      <c r="I4" s="4">
        <f>_xlfn.STDEV.S(A$2:A$101)</f>
        <v>190.8259381247012</v>
      </c>
      <c r="J4" s="4">
        <f t="shared" ref="J4:L4" si="2">_xlfn.STDEV.S(B$2:B$101)</f>
        <v>6.2904438313968791</v>
      </c>
      <c r="K4" s="4">
        <f t="shared" si="2"/>
        <v>174.26485763488307</v>
      </c>
      <c r="L4" s="4">
        <f t="shared" si="2"/>
        <v>9.1410120889374848</v>
      </c>
      <c r="M4" s="4"/>
    </row>
    <row r="5" spans="1:13" x14ac:dyDescent="0.3">
      <c r="A5">
        <v>1747.86</v>
      </c>
      <c r="B5">
        <v>21.52</v>
      </c>
      <c r="C5">
        <v>1920.86</v>
      </c>
      <c r="D5">
        <v>0.69</v>
      </c>
    </row>
    <row r="6" spans="1:13" x14ac:dyDescent="0.3">
      <c r="A6">
        <v>1625.63</v>
      </c>
      <c r="B6">
        <v>17.63</v>
      </c>
      <c r="C6">
        <v>1604.09</v>
      </c>
      <c r="D6">
        <v>0.62</v>
      </c>
    </row>
    <row r="7" spans="1:13" x14ac:dyDescent="0.3">
      <c r="A7">
        <v>1579.25</v>
      </c>
      <c r="B7">
        <v>35.25</v>
      </c>
      <c r="C7">
        <v>1709.36</v>
      </c>
      <c r="D7">
        <v>0.64</v>
      </c>
    </row>
    <row r="8" spans="1:13" x14ac:dyDescent="0.3">
      <c r="A8">
        <v>1625.98</v>
      </c>
      <c r="B8">
        <v>22.4</v>
      </c>
      <c r="C8">
        <v>1511.05</v>
      </c>
      <c r="D8">
        <v>0.72</v>
      </c>
    </row>
    <row r="9" spans="1:13" x14ac:dyDescent="0.3">
      <c r="A9">
        <v>1606.1</v>
      </c>
      <c r="B9">
        <v>28.24</v>
      </c>
      <c r="C9">
        <v>1541.94</v>
      </c>
      <c r="D9">
        <v>0.73</v>
      </c>
    </row>
    <row r="10" spans="1:13" x14ac:dyDescent="0.3">
      <c r="A10">
        <v>1578.26</v>
      </c>
      <c r="B10">
        <v>16.899999999999999</v>
      </c>
      <c r="C10">
        <v>1684.79</v>
      </c>
      <c r="D10">
        <v>0.8</v>
      </c>
    </row>
    <row r="11" spans="1:13" x14ac:dyDescent="0.3">
      <c r="A11">
        <v>1864.59</v>
      </c>
      <c r="B11">
        <v>23.61</v>
      </c>
      <c r="C11">
        <v>1573.46</v>
      </c>
      <c r="D11">
        <v>0.64</v>
      </c>
    </row>
    <row r="12" spans="1:13" x14ac:dyDescent="0.3">
      <c r="A12">
        <v>1490.77</v>
      </c>
      <c r="B12">
        <v>21.57</v>
      </c>
      <c r="C12">
        <v>1688.38</v>
      </c>
      <c r="D12">
        <v>0.65</v>
      </c>
    </row>
    <row r="13" spans="1:13" x14ac:dyDescent="0.3">
      <c r="A13">
        <v>1350.37</v>
      </c>
      <c r="B13">
        <v>15.9</v>
      </c>
      <c r="C13">
        <v>1435.53</v>
      </c>
      <c r="D13">
        <v>0.62</v>
      </c>
    </row>
    <row r="14" spans="1:13" x14ac:dyDescent="0.3">
      <c r="A14">
        <v>1498.87</v>
      </c>
      <c r="B14">
        <v>17.989999999999998</v>
      </c>
      <c r="C14">
        <v>1431.93</v>
      </c>
      <c r="D14">
        <v>0.65</v>
      </c>
    </row>
    <row r="15" spans="1:13" x14ac:dyDescent="0.3">
      <c r="A15">
        <v>1421.39</v>
      </c>
      <c r="B15">
        <v>18.11</v>
      </c>
      <c r="C15">
        <v>1620.78</v>
      </c>
      <c r="D15">
        <v>0.66</v>
      </c>
    </row>
    <row r="16" spans="1:13" x14ac:dyDescent="0.3">
      <c r="A16">
        <v>1485.57</v>
      </c>
      <c r="B16">
        <v>27.9</v>
      </c>
      <c r="C16">
        <v>1497.56</v>
      </c>
      <c r="D16">
        <v>0.67</v>
      </c>
    </row>
    <row r="17" spans="1:4" x14ac:dyDescent="0.3">
      <c r="A17">
        <v>1487.91</v>
      </c>
      <c r="B17">
        <v>18.05</v>
      </c>
      <c r="C17">
        <v>1527.65</v>
      </c>
      <c r="D17">
        <v>0.91</v>
      </c>
    </row>
    <row r="18" spans="1:4" x14ac:dyDescent="0.3">
      <c r="A18">
        <v>1442.68</v>
      </c>
      <c r="B18">
        <v>21.35</v>
      </c>
      <c r="C18">
        <v>1431.87</v>
      </c>
      <c r="D18">
        <v>0.64</v>
      </c>
    </row>
    <row r="19" spans="1:4" x14ac:dyDescent="0.3">
      <c r="A19">
        <v>1403.54</v>
      </c>
      <c r="B19">
        <v>27.41</v>
      </c>
      <c r="C19">
        <v>1312.29</v>
      </c>
      <c r="D19">
        <v>0.63</v>
      </c>
    </row>
    <row r="20" spans="1:4" x14ac:dyDescent="0.3">
      <c r="A20">
        <v>1410.02</v>
      </c>
      <c r="B20">
        <v>20.98</v>
      </c>
      <c r="C20">
        <v>1289.81</v>
      </c>
      <c r="D20">
        <v>0.6</v>
      </c>
    </row>
    <row r="21" spans="1:4" x14ac:dyDescent="0.3">
      <c r="A21">
        <v>1483.44</v>
      </c>
      <c r="B21">
        <v>29.53</v>
      </c>
      <c r="C21">
        <v>1549.09</v>
      </c>
      <c r="D21">
        <v>0.77</v>
      </c>
    </row>
    <row r="22" spans="1:4" x14ac:dyDescent="0.3">
      <c r="A22">
        <v>1479.6</v>
      </c>
      <c r="B22">
        <v>22.84</v>
      </c>
      <c r="C22">
        <v>1683.25</v>
      </c>
      <c r="D22">
        <v>0.88</v>
      </c>
    </row>
    <row r="23" spans="1:4" x14ac:dyDescent="0.3">
      <c r="A23">
        <v>1485.34</v>
      </c>
      <c r="B23">
        <v>20.85</v>
      </c>
      <c r="C23">
        <v>1375.82</v>
      </c>
      <c r="D23">
        <v>0.61</v>
      </c>
    </row>
    <row r="24" spans="1:4" x14ac:dyDescent="0.3">
      <c r="A24">
        <v>1497.68</v>
      </c>
      <c r="B24">
        <v>37.67</v>
      </c>
      <c r="C24">
        <v>1508.82</v>
      </c>
      <c r="D24">
        <v>0.65</v>
      </c>
    </row>
    <row r="25" spans="1:4" x14ac:dyDescent="0.3">
      <c r="A25">
        <v>1441.85</v>
      </c>
      <c r="B25">
        <v>21.41</v>
      </c>
      <c r="C25">
        <v>1432.66</v>
      </c>
      <c r="D25">
        <v>0.81</v>
      </c>
    </row>
    <row r="26" spans="1:4" x14ac:dyDescent="0.3">
      <c r="A26">
        <v>1503.8</v>
      </c>
      <c r="B26">
        <v>21.67</v>
      </c>
      <c r="C26">
        <v>1456.35</v>
      </c>
      <c r="D26">
        <v>0.69</v>
      </c>
    </row>
    <row r="27" spans="1:4" x14ac:dyDescent="0.3">
      <c r="A27">
        <v>1379.01</v>
      </c>
      <c r="B27">
        <v>22.28</v>
      </c>
      <c r="C27">
        <v>1529.86</v>
      </c>
      <c r="D27">
        <v>0.92</v>
      </c>
    </row>
    <row r="28" spans="1:4" x14ac:dyDescent="0.3">
      <c r="A28">
        <v>1496.27</v>
      </c>
      <c r="B28">
        <v>34.28</v>
      </c>
      <c r="C28">
        <v>1381.81</v>
      </c>
      <c r="D28">
        <v>0.86</v>
      </c>
    </row>
    <row r="29" spans="1:4" x14ac:dyDescent="0.3">
      <c r="A29">
        <v>1321.92</v>
      </c>
      <c r="B29">
        <v>17.68</v>
      </c>
      <c r="C29">
        <v>1385.59</v>
      </c>
      <c r="D29">
        <v>0.59</v>
      </c>
    </row>
    <row r="30" spans="1:4" x14ac:dyDescent="0.3">
      <c r="A30">
        <v>1519.57</v>
      </c>
      <c r="B30">
        <v>24.59</v>
      </c>
      <c r="C30">
        <v>1306.6400000000001</v>
      </c>
      <c r="D30">
        <v>0.84</v>
      </c>
    </row>
    <row r="31" spans="1:4" x14ac:dyDescent="0.3">
      <c r="A31">
        <v>1351.5</v>
      </c>
      <c r="B31">
        <v>17.34</v>
      </c>
      <c r="C31">
        <v>1342.96</v>
      </c>
      <c r="D31">
        <v>0.63</v>
      </c>
    </row>
    <row r="32" spans="1:4" x14ac:dyDescent="0.3">
      <c r="A32">
        <v>1652.25</v>
      </c>
      <c r="B32">
        <v>26.35</v>
      </c>
      <c r="C32">
        <v>1887.29</v>
      </c>
      <c r="D32">
        <v>0.71</v>
      </c>
    </row>
    <row r="33" spans="1:4" x14ac:dyDescent="0.3">
      <c r="A33">
        <v>1480.68</v>
      </c>
      <c r="B33">
        <v>28.94</v>
      </c>
      <c r="C33">
        <v>1426.34</v>
      </c>
      <c r="D33">
        <v>0.66</v>
      </c>
    </row>
    <row r="34" spans="1:4" x14ac:dyDescent="0.3">
      <c r="A34">
        <v>1415.26</v>
      </c>
      <c r="B34">
        <v>17.920000000000002</v>
      </c>
      <c r="C34">
        <v>1422.36</v>
      </c>
      <c r="D34">
        <v>0.74</v>
      </c>
    </row>
    <row r="35" spans="1:4" x14ac:dyDescent="0.3">
      <c r="A35">
        <v>1503.83</v>
      </c>
      <c r="B35">
        <v>20.84</v>
      </c>
      <c r="C35">
        <v>1519.8</v>
      </c>
      <c r="D35">
        <v>0.66</v>
      </c>
    </row>
    <row r="36" spans="1:4" x14ac:dyDescent="0.3">
      <c r="A36">
        <v>1636.87</v>
      </c>
      <c r="B36">
        <v>17.36</v>
      </c>
      <c r="C36">
        <v>1589.53</v>
      </c>
      <c r="D36">
        <v>0.67</v>
      </c>
    </row>
    <row r="37" spans="1:4" x14ac:dyDescent="0.3">
      <c r="A37">
        <v>1532.91</v>
      </c>
      <c r="B37">
        <v>17.2</v>
      </c>
      <c r="C37">
        <v>1649.07</v>
      </c>
      <c r="D37">
        <v>0.74</v>
      </c>
    </row>
    <row r="38" spans="1:4" x14ac:dyDescent="0.3">
      <c r="A38">
        <v>1414.87</v>
      </c>
      <c r="B38">
        <v>20.96</v>
      </c>
      <c r="C38">
        <v>1404.51</v>
      </c>
      <c r="D38">
        <v>0.6</v>
      </c>
    </row>
    <row r="39" spans="1:4" x14ac:dyDescent="0.3">
      <c r="A39">
        <v>1443.62</v>
      </c>
      <c r="B39">
        <v>37.35</v>
      </c>
      <c r="C39">
        <v>1660.17</v>
      </c>
      <c r="D39">
        <v>0.83</v>
      </c>
    </row>
    <row r="40" spans="1:4" x14ac:dyDescent="0.3">
      <c r="A40">
        <v>1385.8</v>
      </c>
      <c r="B40">
        <v>17.02</v>
      </c>
      <c r="C40">
        <v>1403.81</v>
      </c>
      <c r="D40">
        <v>0.76</v>
      </c>
    </row>
    <row r="41" spans="1:4" x14ac:dyDescent="0.3">
      <c r="A41">
        <v>1500.97</v>
      </c>
      <c r="B41">
        <v>21.28</v>
      </c>
      <c r="C41">
        <v>1434.77</v>
      </c>
      <c r="D41">
        <v>0.6</v>
      </c>
    </row>
    <row r="42" spans="1:4" x14ac:dyDescent="0.3">
      <c r="A42">
        <v>1834.46</v>
      </c>
      <c r="B42">
        <v>23.28</v>
      </c>
      <c r="C42">
        <v>1683.77</v>
      </c>
      <c r="D42">
        <v>0.68</v>
      </c>
    </row>
    <row r="43" spans="1:4" x14ac:dyDescent="0.3">
      <c r="A43">
        <v>1704.73</v>
      </c>
      <c r="B43">
        <v>16.940000000000001</v>
      </c>
      <c r="C43">
        <v>1528.28</v>
      </c>
      <c r="D43">
        <v>0.76</v>
      </c>
    </row>
    <row r="44" spans="1:4" x14ac:dyDescent="0.3">
      <c r="A44">
        <v>1493.12</v>
      </c>
      <c r="B44">
        <v>18.43</v>
      </c>
      <c r="C44">
        <v>1420.6</v>
      </c>
      <c r="D44">
        <v>0.68</v>
      </c>
    </row>
    <row r="45" spans="1:4" x14ac:dyDescent="0.3">
      <c r="A45">
        <v>1575.22</v>
      </c>
      <c r="B45">
        <v>21.73</v>
      </c>
      <c r="C45">
        <v>1420.1</v>
      </c>
      <c r="D45">
        <v>0.76</v>
      </c>
    </row>
    <row r="46" spans="1:4" x14ac:dyDescent="0.3">
      <c r="A46">
        <v>1401.61</v>
      </c>
      <c r="B46">
        <v>22.32</v>
      </c>
      <c r="C46">
        <v>1399.62</v>
      </c>
      <c r="D46">
        <v>0.71</v>
      </c>
    </row>
    <row r="47" spans="1:4" x14ac:dyDescent="0.3">
      <c r="A47">
        <v>2008.97</v>
      </c>
      <c r="B47">
        <v>31.78</v>
      </c>
      <c r="C47">
        <v>2289.37</v>
      </c>
      <c r="D47">
        <v>0.78</v>
      </c>
    </row>
    <row r="48" spans="1:4" x14ac:dyDescent="0.3">
      <c r="A48">
        <v>2569.06</v>
      </c>
      <c r="B48">
        <v>36.5</v>
      </c>
      <c r="C48">
        <v>2077.2399999999998</v>
      </c>
      <c r="D48">
        <v>0.7</v>
      </c>
    </row>
    <row r="49" spans="1:4" x14ac:dyDescent="0.3">
      <c r="A49">
        <v>2232.29</v>
      </c>
      <c r="B49">
        <v>38.729999999999997</v>
      </c>
      <c r="C49">
        <v>1967.1</v>
      </c>
      <c r="D49">
        <v>2.0299999999999998</v>
      </c>
    </row>
    <row r="50" spans="1:4" x14ac:dyDescent="0.3">
      <c r="A50">
        <v>2073.0700000000002</v>
      </c>
      <c r="B50">
        <v>16.399999999999999</v>
      </c>
      <c r="C50">
        <v>1701.62</v>
      </c>
      <c r="D50">
        <v>0.71</v>
      </c>
    </row>
    <row r="51" spans="1:4" x14ac:dyDescent="0.3">
      <c r="A51">
        <v>1849.05</v>
      </c>
      <c r="B51">
        <v>19.95</v>
      </c>
      <c r="C51">
        <v>1795.18</v>
      </c>
      <c r="D51">
        <v>0.67</v>
      </c>
    </row>
    <row r="52" spans="1:4" x14ac:dyDescent="0.3">
      <c r="A52">
        <v>1400.03</v>
      </c>
      <c r="B52">
        <v>17.489999999999998</v>
      </c>
      <c r="C52">
        <v>1435.34</v>
      </c>
      <c r="D52">
        <v>2.21</v>
      </c>
    </row>
    <row r="53" spans="1:4" x14ac:dyDescent="0.3">
      <c r="A53">
        <v>1407.55</v>
      </c>
      <c r="B53">
        <v>19.39</v>
      </c>
      <c r="C53">
        <v>1425.13</v>
      </c>
      <c r="D53">
        <v>0.8</v>
      </c>
    </row>
    <row r="54" spans="1:4" x14ac:dyDescent="0.3">
      <c r="A54">
        <v>1441.98</v>
      </c>
      <c r="B54">
        <v>15.91</v>
      </c>
      <c r="C54">
        <v>1576.85</v>
      </c>
      <c r="D54">
        <v>1.01</v>
      </c>
    </row>
    <row r="55" spans="1:4" x14ac:dyDescent="0.3">
      <c r="A55">
        <v>1414.34</v>
      </c>
      <c r="B55">
        <v>20.52</v>
      </c>
      <c r="C55">
        <v>1383.27</v>
      </c>
      <c r="D55">
        <v>0.87</v>
      </c>
    </row>
    <row r="56" spans="1:4" x14ac:dyDescent="0.3">
      <c r="A56">
        <v>1344.53</v>
      </c>
      <c r="B56">
        <v>16.98</v>
      </c>
      <c r="C56">
        <v>1406.84</v>
      </c>
      <c r="D56">
        <v>0.79</v>
      </c>
    </row>
    <row r="57" spans="1:4" x14ac:dyDescent="0.3">
      <c r="A57">
        <v>1602.34</v>
      </c>
      <c r="B57">
        <v>20.37</v>
      </c>
      <c r="C57">
        <v>1675.31</v>
      </c>
      <c r="D57">
        <v>0.65</v>
      </c>
    </row>
    <row r="58" spans="1:4" x14ac:dyDescent="0.3">
      <c r="A58">
        <v>1544.79</v>
      </c>
      <c r="B58">
        <v>18.170000000000002</v>
      </c>
      <c r="C58">
        <v>1482.45</v>
      </c>
      <c r="D58">
        <v>0.65</v>
      </c>
    </row>
    <row r="59" spans="1:4" x14ac:dyDescent="0.3">
      <c r="A59">
        <v>1534.12</v>
      </c>
      <c r="B59">
        <v>18.75</v>
      </c>
      <c r="C59">
        <v>1457.58</v>
      </c>
      <c r="D59">
        <v>0.72</v>
      </c>
    </row>
    <row r="60" spans="1:4" x14ac:dyDescent="0.3">
      <c r="A60">
        <v>1712.13</v>
      </c>
      <c r="B60">
        <v>23.45</v>
      </c>
      <c r="C60">
        <v>1449.33</v>
      </c>
      <c r="D60">
        <v>0.7</v>
      </c>
    </row>
    <row r="61" spans="1:4" x14ac:dyDescent="0.3">
      <c r="A61">
        <v>1374.66</v>
      </c>
      <c r="B61">
        <v>23.32</v>
      </c>
      <c r="C61">
        <v>1407.13</v>
      </c>
      <c r="D61">
        <v>0.65</v>
      </c>
    </row>
    <row r="62" spans="1:4" x14ac:dyDescent="0.3">
      <c r="A62">
        <v>1481.56</v>
      </c>
      <c r="B62">
        <v>27.61</v>
      </c>
      <c r="C62">
        <v>1519.93</v>
      </c>
      <c r="D62">
        <v>0.8</v>
      </c>
    </row>
    <row r="63" spans="1:4" x14ac:dyDescent="0.3">
      <c r="A63">
        <v>1358.22</v>
      </c>
      <c r="B63">
        <v>19.75</v>
      </c>
      <c r="C63">
        <v>1305.3699999999999</v>
      </c>
      <c r="D63">
        <v>0.66</v>
      </c>
    </row>
    <row r="64" spans="1:4" x14ac:dyDescent="0.3">
      <c r="A64">
        <v>1448.45</v>
      </c>
      <c r="B64">
        <v>19.8</v>
      </c>
      <c r="C64">
        <v>1416.5</v>
      </c>
      <c r="D64">
        <v>0.66</v>
      </c>
    </row>
    <row r="65" spans="1:13" x14ac:dyDescent="0.3">
      <c r="A65">
        <v>1464.22</v>
      </c>
      <c r="B65">
        <v>16.440000000000001</v>
      </c>
      <c r="C65">
        <v>1359.47</v>
      </c>
      <c r="D65">
        <v>0.76</v>
      </c>
    </row>
    <row r="66" spans="1:13" x14ac:dyDescent="0.3">
      <c r="A66">
        <v>1376</v>
      </c>
      <c r="B66">
        <v>16.809999999999999</v>
      </c>
      <c r="C66">
        <v>1296.0899999999999</v>
      </c>
      <c r="D66">
        <v>0.72</v>
      </c>
    </row>
    <row r="67" spans="1:13" x14ac:dyDescent="0.3">
      <c r="A67">
        <v>1463.58</v>
      </c>
      <c r="B67">
        <v>17.48</v>
      </c>
      <c r="C67">
        <v>1504.03</v>
      </c>
      <c r="D67">
        <v>0.6</v>
      </c>
    </row>
    <row r="68" spans="1:13" x14ac:dyDescent="0.3">
      <c r="A68">
        <v>1344.86</v>
      </c>
      <c r="B68">
        <v>32.619999999999997</v>
      </c>
      <c r="C68">
        <v>1420.11</v>
      </c>
      <c r="D68">
        <v>0.66</v>
      </c>
    </row>
    <row r="69" spans="1:13" x14ac:dyDescent="0.3">
      <c r="A69">
        <v>1565.39</v>
      </c>
      <c r="B69">
        <v>16.399999999999999</v>
      </c>
      <c r="C69">
        <v>1379.79</v>
      </c>
      <c r="D69">
        <v>0.76</v>
      </c>
    </row>
    <row r="70" spans="1:13" x14ac:dyDescent="0.3">
      <c r="A70">
        <v>1517.37</v>
      </c>
      <c r="B70">
        <v>19.12</v>
      </c>
      <c r="C70">
        <v>1477.59</v>
      </c>
      <c r="D70">
        <v>0.66</v>
      </c>
    </row>
    <row r="71" spans="1:13" x14ac:dyDescent="0.3">
      <c r="A71">
        <v>1395.91</v>
      </c>
      <c r="B71">
        <v>15.89</v>
      </c>
      <c r="C71">
        <v>1459.34</v>
      </c>
      <c r="D71">
        <v>0.66</v>
      </c>
    </row>
    <row r="72" spans="1:13" x14ac:dyDescent="0.3">
      <c r="A72">
        <v>1447.64</v>
      </c>
      <c r="B72">
        <v>17.920000000000002</v>
      </c>
      <c r="C72">
        <v>1647.99</v>
      </c>
      <c r="D72">
        <v>0.7</v>
      </c>
    </row>
    <row r="73" spans="1:13" x14ac:dyDescent="0.3">
      <c r="A73">
        <v>1482.61</v>
      </c>
      <c r="B73">
        <v>22.27</v>
      </c>
      <c r="C73">
        <v>1560.91</v>
      </c>
      <c r="D73">
        <v>0.85</v>
      </c>
    </row>
    <row r="74" spans="1:13" x14ac:dyDescent="0.3">
      <c r="A74">
        <v>1603.41</v>
      </c>
      <c r="B74">
        <v>16.95</v>
      </c>
      <c r="C74">
        <v>1665.31</v>
      </c>
      <c r="D74">
        <v>0.69</v>
      </c>
    </row>
    <row r="75" spans="1:13" x14ac:dyDescent="0.3">
      <c r="A75">
        <v>1671.13</v>
      </c>
      <c r="B75">
        <v>18.940000000000001</v>
      </c>
      <c r="C75">
        <v>1657.84</v>
      </c>
      <c r="D75">
        <v>1.1499999999999999</v>
      </c>
    </row>
    <row r="76" spans="1:13" x14ac:dyDescent="0.3">
      <c r="A76">
        <v>1452.39</v>
      </c>
      <c r="B76">
        <v>16.39</v>
      </c>
      <c r="C76">
        <v>1571.84</v>
      </c>
      <c r="D76">
        <v>0.63</v>
      </c>
    </row>
    <row r="77" spans="1:13" x14ac:dyDescent="0.3">
      <c r="A77">
        <v>1502.14</v>
      </c>
      <c r="B77">
        <v>23.14</v>
      </c>
      <c r="C77">
        <v>1668.45</v>
      </c>
      <c r="D77">
        <v>0.77</v>
      </c>
    </row>
    <row r="78" spans="1:13" x14ac:dyDescent="0.3">
      <c r="A78">
        <v>1516.42</v>
      </c>
      <c r="B78">
        <v>28.25</v>
      </c>
      <c r="C78">
        <v>1656.3</v>
      </c>
      <c r="D78">
        <v>0.69</v>
      </c>
    </row>
    <row r="79" spans="1:13" x14ac:dyDescent="0.3">
      <c r="A79">
        <v>1471.19</v>
      </c>
      <c r="B79">
        <v>16.52</v>
      </c>
      <c r="C79">
        <v>1467.43</v>
      </c>
      <c r="D79">
        <v>0.73</v>
      </c>
    </row>
    <row r="80" spans="1:13" x14ac:dyDescent="0.3">
      <c r="A80">
        <v>1557.4</v>
      </c>
      <c r="B80">
        <v>23.75</v>
      </c>
      <c r="C80">
        <v>1460.95</v>
      </c>
      <c r="D80">
        <v>0.75</v>
      </c>
      <c r="I80" s="4"/>
      <c r="J80" s="4"/>
      <c r="K80" s="4"/>
      <c r="L80" s="4"/>
      <c r="M80" s="4"/>
    </row>
    <row r="81" spans="1:13" x14ac:dyDescent="0.3">
      <c r="A81">
        <v>1576.94</v>
      </c>
      <c r="B81">
        <v>16.38</v>
      </c>
      <c r="C81">
        <v>1494.17</v>
      </c>
      <c r="D81">
        <v>0.73</v>
      </c>
      <c r="I81" s="4"/>
      <c r="J81" s="4"/>
      <c r="K81" s="4"/>
      <c r="L81" s="4"/>
      <c r="M81" s="4"/>
    </row>
    <row r="82" spans="1:13" x14ac:dyDescent="0.3">
      <c r="A82">
        <v>1616.52</v>
      </c>
      <c r="B82">
        <v>16.350000000000001</v>
      </c>
      <c r="C82">
        <v>1666.71</v>
      </c>
      <c r="D82">
        <v>0.63</v>
      </c>
      <c r="I82" s="4"/>
      <c r="J82" s="4"/>
      <c r="K82" s="4"/>
      <c r="L82" s="4"/>
      <c r="M82" s="4"/>
    </row>
    <row r="83" spans="1:13" x14ac:dyDescent="0.3">
      <c r="A83">
        <v>1831.51</v>
      </c>
      <c r="B83">
        <v>20.85</v>
      </c>
      <c r="C83">
        <v>1566.5</v>
      </c>
      <c r="D83">
        <v>0.64</v>
      </c>
    </row>
    <row r="84" spans="1:13" x14ac:dyDescent="0.3">
      <c r="A84">
        <v>1664.38</v>
      </c>
      <c r="B84">
        <v>16.09</v>
      </c>
      <c r="C84">
        <v>1475.45</v>
      </c>
      <c r="D84">
        <v>0.71</v>
      </c>
    </row>
    <row r="85" spans="1:13" x14ac:dyDescent="0.3">
      <c r="A85">
        <v>1659.6</v>
      </c>
      <c r="B85">
        <v>28.36</v>
      </c>
      <c r="C85">
        <v>1462.14</v>
      </c>
      <c r="D85">
        <v>0.67</v>
      </c>
    </row>
    <row r="86" spans="1:13" x14ac:dyDescent="0.3">
      <c r="A86">
        <v>1560.07</v>
      </c>
      <c r="B86">
        <v>16.29</v>
      </c>
      <c r="C86">
        <v>1535.75</v>
      </c>
      <c r="D86">
        <v>0.65</v>
      </c>
    </row>
    <row r="87" spans="1:13" x14ac:dyDescent="0.3">
      <c r="A87">
        <v>1870.6</v>
      </c>
      <c r="B87">
        <v>25.37</v>
      </c>
      <c r="C87">
        <v>1770.58</v>
      </c>
      <c r="D87">
        <v>0.68</v>
      </c>
    </row>
    <row r="88" spans="1:13" x14ac:dyDescent="0.3">
      <c r="A88">
        <v>1489.16</v>
      </c>
      <c r="B88">
        <v>17.93</v>
      </c>
      <c r="C88">
        <v>1308.83</v>
      </c>
      <c r="D88">
        <v>0.62</v>
      </c>
    </row>
    <row r="89" spans="1:13" x14ac:dyDescent="0.3">
      <c r="A89">
        <v>1442.93</v>
      </c>
      <c r="B89">
        <v>16.21</v>
      </c>
      <c r="C89">
        <v>1378.14</v>
      </c>
      <c r="D89">
        <v>0.64</v>
      </c>
    </row>
    <row r="90" spans="1:13" x14ac:dyDescent="0.3">
      <c r="A90">
        <v>1465.91</v>
      </c>
      <c r="B90">
        <v>17.71</v>
      </c>
      <c r="C90">
        <v>1381.74</v>
      </c>
      <c r="D90">
        <v>0.64</v>
      </c>
    </row>
    <row r="91" spans="1:13" x14ac:dyDescent="0.3">
      <c r="A91">
        <v>1329.84</v>
      </c>
      <c r="B91">
        <v>18.28</v>
      </c>
      <c r="C91">
        <v>1506.73</v>
      </c>
      <c r="D91">
        <v>0.64</v>
      </c>
    </row>
    <row r="92" spans="1:13" x14ac:dyDescent="0.3">
      <c r="A92">
        <v>1448.27</v>
      </c>
      <c r="B92">
        <v>17.13</v>
      </c>
      <c r="C92">
        <v>1396</v>
      </c>
      <c r="D92">
        <v>0.59</v>
      </c>
    </row>
    <row r="93" spans="1:13" x14ac:dyDescent="0.3">
      <c r="A93">
        <v>1438.54</v>
      </c>
      <c r="B93">
        <v>41.88</v>
      </c>
      <c r="C93">
        <v>1361.47</v>
      </c>
      <c r="D93">
        <v>0.87</v>
      </c>
    </row>
    <row r="94" spans="1:13" x14ac:dyDescent="0.3">
      <c r="A94">
        <v>1472.01</v>
      </c>
      <c r="B94">
        <v>17.760000000000002</v>
      </c>
      <c r="C94">
        <v>1430.54</v>
      </c>
      <c r="D94">
        <v>0.72</v>
      </c>
    </row>
    <row r="95" spans="1:13" x14ac:dyDescent="0.3">
      <c r="A95">
        <v>1467.74</v>
      </c>
      <c r="B95">
        <v>16.559999999999999</v>
      </c>
      <c r="C95">
        <v>1531.66</v>
      </c>
      <c r="D95">
        <v>0.61</v>
      </c>
    </row>
    <row r="96" spans="1:13" x14ac:dyDescent="0.3">
      <c r="A96">
        <v>1591.38</v>
      </c>
      <c r="B96">
        <v>15.61</v>
      </c>
      <c r="C96">
        <v>1423.69</v>
      </c>
      <c r="D96">
        <v>0.66</v>
      </c>
    </row>
    <row r="97" spans="1:4" x14ac:dyDescent="0.3">
      <c r="A97">
        <v>1440.15</v>
      </c>
      <c r="B97">
        <v>21.04</v>
      </c>
      <c r="C97">
        <v>1674.37</v>
      </c>
      <c r="D97">
        <v>0.71</v>
      </c>
    </row>
    <row r="98" spans="1:4" x14ac:dyDescent="0.3">
      <c r="A98">
        <v>1488.27</v>
      </c>
      <c r="B98">
        <v>18.78</v>
      </c>
      <c r="C98">
        <v>1641.86</v>
      </c>
      <c r="D98">
        <v>0.68</v>
      </c>
    </row>
    <row r="99" spans="1:4" x14ac:dyDescent="0.3">
      <c r="A99">
        <v>1600.16</v>
      </c>
      <c r="B99">
        <v>21.46</v>
      </c>
      <c r="C99">
        <v>1534.34</v>
      </c>
      <c r="D99">
        <v>0.63</v>
      </c>
    </row>
    <row r="100" spans="1:4" x14ac:dyDescent="0.3">
      <c r="A100">
        <v>1594.47</v>
      </c>
      <c r="B100">
        <v>19.010000000000002</v>
      </c>
      <c r="C100">
        <v>1617.42</v>
      </c>
      <c r="D100">
        <v>0.67</v>
      </c>
    </row>
    <row r="101" spans="1:4" x14ac:dyDescent="0.3">
      <c r="A101">
        <v>1747</v>
      </c>
      <c r="B101">
        <v>19.440000000000001</v>
      </c>
      <c r="C101">
        <v>1634.38</v>
      </c>
      <c r="D101">
        <v>0.62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0182-7F7D-40FC-AE80-74CB7D578E5E}">
  <dimension ref="A1:M101"/>
  <sheetViews>
    <sheetView workbookViewId="0">
      <selection activeCell="H19" sqref="H19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2551.7399999999998</v>
      </c>
      <c r="B2">
        <v>33.4</v>
      </c>
      <c r="C2">
        <v>2911.33</v>
      </c>
      <c r="D2">
        <v>0.59</v>
      </c>
      <c r="H2" t="s">
        <v>21</v>
      </c>
      <c r="I2" s="4">
        <f>AVERAGE(A$2:A$101)</f>
        <v>2001.9052999999997</v>
      </c>
      <c r="J2" s="4">
        <f>AVERAGE(B$2:B$101)</f>
        <v>18.404899999999998</v>
      </c>
      <c r="K2" s="4">
        <f>AVERAGE(C$2:C$101)</f>
        <v>1883.1569000000011</v>
      </c>
      <c r="L2" s="4">
        <f t="shared" ref="L2" si="0">AVERAGE(D$2:D$101)</f>
        <v>0.68400000000000016</v>
      </c>
      <c r="M2" s="4"/>
    </row>
    <row r="3" spans="1:13" x14ac:dyDescent="0.3">
      <c r="A3">
        <v>1480.69</v>
      </c>
      <c r="B3">
        <v>16.38</v>
      </c>
      <c r="C3">
        <v>2092.87</v>
      </c>
      <c r="D3">
        <v>0.53</v>
      </c>
      <c r="H3" t="s">
        <v>17</v>
      </c>
      <c r="I3" s="4">
        <f>MEDIAN(A$2:A$101)</f>
        <v>1540.2249999999999</v>
      </c>
      <c r="J3" s="4">
        <f t="shared" ref="J3:L3" si="1">MEDIAN(B$2:B$101)</f>
        <v>12.09</v>
      </c>
      <c r="K3" s="4">
        <f t="shared" si="1"/>
        <v>1554.095</v>
      </c>
      <c r="L3" s="4">
        <f t="shared" si="1"/>
        <v>0.56000000000000005</v>
      </c>
      <c r="M3" s="4"/>
    </row>
    <row r="4" spans="1:13" x14ac:dyDescent="0.3">
      <c r="A4">
        <v>1541.65</v>
      </c>
      <c r="B4">
        <v>10.02</v>
      </c>
      <c r="C4">
        <v>1057.81</v>
      </c>
      <c r="D4">
        <v>0.54</v>
      </c>
      <c r="H4" t="s">
        <v>18</v>
      </c>
      <c r="I4" s="4">
        <f>_xlfn.STDEV.S(A$2:A$101)</f>
        <v>1484.8982862288465</v>
      </c>
      <c r="J4" s="4">
        <f t="shared" ref="J4:L4" si="2">_xlfn.STDEV.S(B$2:B$101)</f>
        <v>18.985501299303607</v>
      </c>
      <c r="K4" s="4">
        <f t="shared" si="2"/>
        <v>932.07113033904227</v>
      </c>
      <c r="L4" s="4">
        <f t="shared" si="2"/>
        <v>0.43922567311029515</v>
      </c>
      <c r="M4" s="4"/>
    </row>
    <row r="5" spans="1:13" x14ac:dyDescent="0.3">
      <c r="A5">
        <v>1598.26</v>
      </c>
      <c r="B5">
        <v>16.96</v>
      </c>
      <c r="C5">
        <v>1281.42</v>
      </c>
      <c r="D5">
        <v>0.5</v>
      </c>
    </row>
    <row r="6" spans="1:13" x14ac:dyDescent="0.3">
      <c r="A6">
        <v>1409.11</v>
      </c>
      <c r="B6">
        <v>9.91</v>
      </c>
      <c r="C6">
        <v>2546.75</v>
      </c>
      <c r="D6">
        <v>0.83</v>
      </c>
    </row>
    <row r="7" spans="1:13" x14ac:dyDescent="0.3">
      <c r="A7">
        <v>13086.03</v>
      </c>
      <c r="B7">
        <v>98.03</v>
      </c>
      <c r="C7">
        <v>4518.41</v>
      </c>
      <c r="D7">
        <v>0.78</v>
      </c>
    </row>
    <row r="8" spans="1:13" x14ac:dyDescent="0.3">
      <c r="A8">
        <v>4120.8900000000003</v>
      </c>
      <c r="B8">
        <v>13.79</v>
      </c>
      <c r="C8">
        <v>6382.02</v>
      </c>
      <c r="D8">
        <v>0.84</v>
      </c>
    </row>
    <row r="9" spans="1:13" x14ac:dyDescent="0.3">
      <c r="A9">
        <v>2117.67</v>
      </c>
      <c r="B9">
        <v>9.76</v>
      </c>
      <c r="C9">
        <v>1111.43</v>
      </c>
      <c r="D9">
        <v>0.63</v>
      </c>
    </row>
    <row r="10" spans="1:13" x14ac:dyDescent="0.3">
      <c r="A10">
        <v>1196.5899999999999</v>
      </c>
      <c r="B10">
        <v>10.56</v>
      </c>
      <c r="C10">
        <v>1563.71</v>
      </c>
      <c r="D10">
        <v>0.56000000000000005</v>
      </c>
    </row>
    <row r="11" spans="1:13" x14ac:dyDescent="0.3">
      <c r="A11">
        <v>1635.55</v>
      </c>
      <c r="B11">
        <v>13.68</v>
      </c>
      <c r="C11">
        <v>2384.87</v>
      </c>
      <c r="D11">
        <v>0.59</v>
      </c>
    </row>
    <row r="12" spans="1:13" x14ac:dyDescent="0.3">
      <c r="A12">
        <v>1443.58</v>
      </c>
      <c r="B12">
        <v>13.45</v>
      </c>
      <c r="C12">
        <v>2279.4299999999998</v>
      </c>
      <c r="D12">
        <v>0.55000000000000004</v>
      </c>
    </row>
    <row r="13" spans="1:13" x14ac:dyDescent="0.3">
      <c r="A13">
        <v>1385.17</v>
      </c>
      <c r="B13">
        <v>13.37</v>
      </c>
      <c r="C13">
        <v>2875.14</v>
      </c>
      <c r="D13">
        <v>0.57999999999999996</v>
      </c>
    </row>
    <row r="14" spans="1:13" x14ac:dyDescent="0.3">
      <c r="A14">
        <v>2336.33</v>
      </c>
      <c r="B14">
        <v>10.9</v>
      </c>
      <c r="C14">
        <v>1215.5999999999999</v>
      </c>
      <c r="D14">
        <v>0.49</v>
      </c>
    </row>
    <row r="15" spans="1:13" x14ac:dyDescent="0.3">
      <c r="A15">
        <v>1420.11</v>
      </c>
      <c r="B15">
        <v>10.08</v>
      </c>
      <c r="C15">
        <v>1584.09</v>
      </c>
      <c r="D15">
        <v>0.49</v>
      </c>
    </row>
    <row r="16" spans="1:13" x14ac:dyDescent="0.3">
      <c r="A16">
        <v>1271.19</v>
      </c>
      <c r="B16">
        <v>11.53</v>
      </c>
      <c r="C16">
        <v>947.32</v>
      </c>
      <c r="D16">
        <v>0.52</v>
      </c>
    </row>
    <row r="17" spans="1:4" x14ac:dyDescent="0.3">
      <c r="A17">
        <v>5049.17</v>
      </c>
      <c r="B17">
        <v>23.97</v>
      </c>
      <c r="C17">
        <v>3816.36</v>
      </c>
      <c r="D17">
        <v>0.65</v>
      </c>
    </row>
    <row r="18" spans="1:4" x14ac:dyDescent="0.3">
      <c r="A18">
        <v>2837.7</v>
      </c>
      <c r="B18">
        <v>13.85</v>
      </c>
      <c r="C18">
        <v>1407.07</v>
      </c>
      <c r="D18">
        <v>0.56000000000000005</v>
      </c>
    </row>
    <row r="19" spans="1:4" x14ac:dyDescent="0.3">
      <c r="A19">
        <v>1461.2</v>
      </c>
      <c r="B19">
        <v>9.82</v>
      </c>
      <c r="C19">
        <v>2100.6</v>
      </c>
      <c r="D19">
        <v>0.59</v>
      </c>
    </row>
    <row r="20" spans="1:4" x14ac:dyDescent="0.3">
      <c r="A20">
        <v>2878.89</v>
      </c>
      <c r="B20">
        <v>9.39</v>
      </c>
      <c r="C20">
        <v>1407.88</v>
      </c>
      <c r="D20">
        <v>2.12</v>
      </c>
    </row>
    <row r="21" spans="1:4" x14ac:dyDescent="0.3">
      <c r="A21">
        <v>1717.6</v>
      </c>
      <c r="B21">
        <v>9.83</v>
      </c>
      <c r="C21">
        <v>1338.58</v>
      </c>
      <c r="D21">
        <v>0.56000000000000005</v>
      </c>
    </row>
    <row r="22" spans="1:4" x14ac:dyDescent="0.3">
      <c r="A22">
        <v>1228.79</v>
      </c>
      <c r="B22">
        <v>14.1</v>
      </c>
      <c r="C22">
        <v>1322.94</v>
      </c>
      <c r="D22">
        <v>0.54</v>
      </c>
    </row>
    <row r="23" spans="1:4" x14ac:dyDescent="0.3">
      <c r="A23">
        <v>1092.1199999999999</v>
      </c>
      <c r="B23">
        <v>12.27</v>
      </c>
      <c r="C23">
        <v>1198.19</v>
      </c>
      <c r="D23">
        <v>0.56000000000000005</v>
      </c>
    </row>
    <row r="24" spans="1:4" x14ac:dyDescent="0.3">
      <c r="A24">
        <v>1408.27</v>
      </c>
      <c r="B24">
        <v>12.49</v>
      </c>
      <c r="C24">
        <v>1055.6500000000001</v>
      </c>
      <c r="D24">
        <v>0.61</v>
      </c>
    </row>
    <row r="25" spans="1:4" x14ac:dyDescent="0.3">
      <c r="A25">
        <v>1241.47</v>
      </c>
      <c r="B25">
        <v>10.38</v>
      </c>
      <c r="C25">
        <v>1661.87</v>
      </c>
      <c r="D25">
        <v>0.52</v>
      </c>
    </row>
    <row r="26" spans="1:4" x14ac:dyDescent="0.3">
      <c r="A26">
        <v>1175.54</v>
      </c>
      <c r="B26">
        <v>9.76</v>
      </c>
      <c r="C26">
        <v>1088.71</v>
      </c>
      <c r="D26">
        <v>0.52</v>
      </c>
    </row>
    <row r="27" spans="1:4" x14ac:dyDescent="0.3">
      <c r="A27">
        <v>1086.58</v>
      </c>
      <c r="B27">
        <v>13.12</v>
      </c>
      <c r="C27">
        <v>1253.6500000000001</v>
      </c>
      <c r="D27">
        <v>0.54</v>
      </c>
    </row>
    <row r="28" spans="1:4" x14ac:dyDescent="0.3">
      <c r="A28">
        <v>1091.3499999999999</v>
      </c>
      <c r="B28">
        <v>11.91</v>
      </c>
      <c r="C28">
        <v>1015.23</v>
      </c>
      <c r="D28">
        <v>0.59</v>
      </c>
    </row>
    <row r="29" spans="1:4" x14ac:dyDescent="0.3">
      <c r="A29">
        <v>1748.49</v>
      </c>
      <c r="B29">
        <v>9.81</v>
      </c>
      <c r="C29">
        <v>991.44</v>
      </c>
      <c r="D29">
        <v>0.53</v>
      </c>
    </row>
    <row r="30" spans="1:4" x14ac:dyDescent="0.3">
      <c r="A30">
        <v>1169.44</v>
      </c>
      <c r="B30">
        <v>8.01</v>
      </c>
      <c r="C30">
        <v>1020.76</v>
      </c>
      <c r="D30">
        <v>0.52</v>
      </c>
    </row>
    <row r="31" spans="1:4" x14ac:dyDescent="0.3">
      <c r="A31">
        <v>1732.31</v>
      </c>
      <c r="B31">
        <v>32.21</v>
      </c>
      <c r="C31">
        <v>1618.53</v>
      </c>
      <c r="D31">
        <v>0.6</v>
      </c>
    </row>
    <row r="32" spans="1:4" x14ac:dyDescent="0.3">
      <c r="A32">
        <v>1354.02</v>
      </c>
      <c r="B32">
        <v>13.23</v>
      </c>
      <c r="C32">
        <v>1837.89</v>
      </c>
      <c r="D32">
        <v>0.54</v>
      </c>
    </row>
    <row r="33" spans="1:4" x14ac:dyDescent="0.3">
      <c r="A33">
        <v>1539.37</v>
      </c>
      <c r="B33">
        <v>11.66</v>
      </c>
      <c r="C33">
        <v>1738.63</v>
      </c>
      <c r="D33">
        <v>0.49</v>
      </c>
    </row>
    <row r="34" spans="1:4" x14ac:dyDescent="0.3">
      <c r="A34">
        <v>2339.59</v>
      </c>
      <c r="B34">
        <v>13.07</v>
      </c>
      <c r="C34">
        <v>1728.49</v>
      </c>
      <c r="D34">
        <v>0.64</v>
      </c>
    </row>
    <row r="35" spans="1:4" x14ac:dyDescent="0.3">
      <c r="A35">
        <v>1440.14</v>
      </c>
      <c r="B35">
        <v>10</v>
      </c>
      <c r="C35">
        <v>1224.26</v>
      </c>
      <c r="D35">
        <v>0.53</v>
      </c>
    </row>
    <row r="36" spans="1:4" x14ac:dyDescent="0.3">
      <c r="A36">
        <v>1402.78</v>
      </c>
      <c r="B36">
        <v>11.03</v>
      </c>
      <c r="C36">
        <v>1344.99</v>
      </c>
      <c r="D36">
        <v>0.52</v>
      </c>
    </row>
    <row r="37" spans="1:4" x14ac:dyDescent="0.3">
      <c r="A37">
        <v>1173.55</v>
      </c>
      <c r="B37">
        <v>31.3</v>
      </c>
      <c r="C37">
        <v>1761.57</v>
      </c>
      <c r="D37">
        <v>0.6</v>
      </c>
    </row>
    <row r="38" spans="1:4" x14ac:dyDescent="0.3">
      <c r="A38">
        <v>1318.41</v>
      </c>
      <c r="B38">
        <v>27.32</v>
      </c>
      <c r="C38">
        <v>1302.69</v>
      </c>
      <c r="D38">
        <v>0.5</v>
      </c>
    </row>
    <row r="39" spans="1:4" x14ac:dyDescent="0.3">
      <c r="A39">
        <v>1529.69</v>
      </c>
      <c r="B39">
        <v>7.76</v>
      </c>
      <c r="C39">
        <v>2087.9299999999998</v>
      </c>
      <c r="D39">
        <v>0.67</v>
      </c>
    </row>
    <row r="40" spans="1:4" x14ac:dyDescent="0.3">
      <c r="A40">
        <v>1363.35</v>
      </c>
      <c r="B40">
        <v>8.41</v>
      </c>
      <c r="C40">
        <v>1431.21</v>
      </c>
      <c r="D40">
        <v>0.6</v>
      </c>
    </row>
    <row r="41" spans="1:4" x14ac:dyDescent="0.3">
      <c r="A41">
        <v>1276.45</v>
      </c>
      <c r="B41">
        <v>9.31</v>
      </c>
      <c r="C41">
        <v>1127.05</v>
      </c>
      <c r="D41">
        <v>0.71</v>
      </c>
    </row>
    <row r="42" spans="1:4" x14ac:dyDescent="0.3">
      <c r="A42">
        <v>3124.56</v>
      </c>
      <c r="B42">
        <v>10.86</v>
      </c>
      <c r="C42">
        <v>1769.6</v>
      </c>
      <c r="D42">
        <v>1.19</v>
      </c>
    </row>
    <row r="43" spans="1:4" x14ac:dyDescent="0.3">
      <c r="A43">
        <v>2719.18</v>
      </c>
      <c r="B43">
        <v>152.71</v>
      </c>
      <c r="C43">
        <v>1424.77</v>
      </c>
      <c r="D43">
        <v>0.65</v>
      </c>
    </row>
    <row r="44" spans="1:4" x14ac:dyDescent="0.3">
      <c r="A44">
        <v>2202.81</v>
      </c>
      <c r="B44">
        <v>8.2899999999999991</v>
      </c>
      <c r="C44">
        <v>1889.85</v>
      </c>
      <c r="D44">
        <v>0.56000000000000005</v>
      </c>
    </row>
    <row r="45" spans="1:4" x14ac:dyDescent="0.3">
      <c r="A45">
        <v>2036.64</v>
      </c>
      <c r="B45">
        <v>10.31</v>
      </c>
      <c r="C45">
        <v>1448.81</v>
      </c>
      <c r="D45">
        <v>0.54</v>
      </c>
    </row>
    <row r="46" spans="1:4" x14ac:dyDescent="0.3">
      <c r="A46">
        <v>2270.04</v>
      </c>
      <c r="B46">
        <v>11.55</v>
      </c>
      <c r="C46">
        <v>3229.28</v>
      </c>
      <c r="D46">
        <v>0.56000000000000005</v>
      </c>
    </row>
    <row r="47" spans="1:4" x14ac:dyDescent="0.3">
      <c r="A47">
        <v>1678.44</v>
      </c>
      <c r="B47">
        <v>11.08</v>
      </c>
      <c r="C47">
        <v>1943.45</v>
      </c>
      <c r="D47">
        <v>0.56000000000000005</v>
      </c>
    </row>
    <row r="48" spans="1:4" x14ac:dyDescent="0.3">
      <c r="A48">
        <v>1524.9</v>
      </c>
      <c r="B48">
        <v>23.66</v>
      </c>
      <c r="C48">
        <v>1214.6600000000001</v>
      </c>
      <c r="D48">
        <v>0.53</v>
      </c>
    </row>
    <row r="49" spans="1:4" x14ac:dyDescent="0.3">
      <c r="A49">
        <v>1577.63</v>
      </c>
      <c r="B49">
        <v>10.19</v>
      </c>
      <c r="C49">
        <v>1320.26</v>
      </c>
      <c r="D49">
        <v>0.78</v>
      </c>
    </row>
    <row r="50" spans="1:4" x14ac:dyDescent="0.3">
      <c r="A50">
        <v>2147.23</v>
      </c>
      <c r="B50">
        <v>29.56</v>
      </c>
      <c r="C50">
        <v>1473.88</v>
      </c>
      <c r="D50">
        <v>0.56000000000000005</v>
      </c>
    </row>
    <row r="51" spans="1:4" x14ac:dyDescent="0.3">
      <c r="A51">
        <v>1212.75</v>
      </c>
      <c r="B51">
        <v>24.33</v>
      </c>
      <c r="C51">
        <v>1218.99</v>
      </c>
      <c r="D51">
        <v>0.6</v>
      </c>
    </row>
    <row r="52" spans="1:4" x14ac:dyDescent="0.3">
      <c r="A52">
        <v>1310.26</v>
      </c>
      <c r="B52">
        <v>13.45</v>
      </c>
      <c r="C52">
        <v>1512.12</v>
      </c>
      <c r="D52">
        <v>0.51</v>
      </c>
    </row>
    <row r="53" spans="1:4" x14ac:dyDescent="0.3">
      <c r="A53">
        <v>1327.25</v>
      </c>
      <c r="B53">
        <v>28.53</v>
      </c>
      <c r="C53">
        <v>1300.6199999999999</v>
      </c>
      <c r="D53">
        <v>0.61</v>
      </c>
    </row>
    <row r="54" spans="1:4" x14ac:dyDescent="0.3">
      <c r="A54">
        <v>1767.61</v>
      </c>
      <c r="B54">
        <v>31.24</v>
      </c>
      <c r="C54">
        <v>1445.74</v>
      </c>
      <c r="D54">
        <v>0.51</v>
      </c>
    </row>
    <row r="55" spans="1:4" x14ac:dyDescent="0.3">
      <c r="A55">
        <v>1314.62</v>
      </c>
      <c r="B55">
        <v>7.9</v>
      </c>
      <c r="C55">
        <v>1257.49</v>
      </c>
      <c r="D55">
        <v>0.54</v>
      </c>
    </row>
    <row r="56" spans="1:4" x14ac:dyDescent="0.3">
      <c r="A56">
        <v>1326.38</v>
      </c>
      <c r="B56">
        <v>9.3000000000000007</v>
      </c>
      <c r="C56">
        <v>1144.67</v>
      </c>
      <c r="D56">
        <v>0.52</v>
      </c>
    </row>
    <row r="57" spans="1:4" x14ac:dyDescent="0.3">
      <c r="A57">
        <v>1484.23</v>
      </c>
      <c r="B57">
        <v>11.68</v>
      </c>
      <c r="C57">
        <v>2519.88</v>
      </c>
      <c r="D57">
        <v>0.54</v>
      </c>
    </row>
    <row r="58" spans="1:4" x14ac:dyDescent="0.3">
      <c r="A58">
        <v>1322.83</v>
      </c>
      <c r="B58">
        <v>11.45</v>
      </c>
      <c r="C58">
        <v>1496.05</v>
      </c>
      <c r="D58">
        <v>0.68</v>
      </c>
    </row>
    <row r="59" spans="1:4" x14ac:dyDescent="0.3">
      <c r="A59">
        <v>3159.77</v>
      </c>
      <c r="B59">
        <v>9.43</v>
      </c>
      <c r="C59">
        <v>2502.89</v>
      </c>
      <c r="D59">
        <v>0.59</v>
      </c>
    </row>
    <row r="60" spans="1:4" x14ac:dyDescent="0.3">
      <c r="A60">
        <v>1695.11</v>
      </c>
      <c r="B60">
        <v>9.9600000000000009</v>
      </c>
      <c r="C60">
        <v>2787.29</v>
      </c>
      <c r="D60">
        <v>0.72</v>
      </c>
    </row>
    <row r="61" spans="1:4" x14ac:dyDescent="0.3">
      <c r="A61">
        <v>6201.29</v>
      </c>
      <c r="B61">
        <v>7.81</v>
      </c>
      <c r="C61">
        <v>1699</v>
      </c>
      <c r="D61">
        <v>0.56999999999999995</v>
      </c>
    </row>
    <row r="62" spans="1:4" x14ac:dyDescent="0.3">
      <c r="A62">
        <v>6199.54</v>
      </c>
      <c r="B62">
        <v>14.07</v>
      </c>
      <c r="C62">
        <v>2987.81</v>
      </c>
      <c r="D62">
        <v>0.55000000000000004</v>
      </c>
    </row>
    <row r="63" spans="1:4" x14ac:dyDescent="0.3">
      <c r="A63">
        <v>1541.08</v>
      </c>
      <c r="B63">
        <v>13.13</v>
      </c>
      <c r="C63">
        <v>1294.97</v>
      </c>
      <c r="D63">
        <v>0.52</v>
      </c>
    </row>
    <row r="64" spans="1:4" x14ac:dyDescent="0.3">
      <c r="A64">
        <v>1313.31</v>
      </c>
      <c r="B64">
        <v>21.05</v>
      </c>
      <c r="C64">
        <v>1337.5</v>
      </c>
      <c r="D64">
        <v>0.5</v>
      </c>
    </row>
    <row r="65" spans="1:4" x14ac:dyDescent="0.3">
      <c r="A65">
        <v>4891.2299999999996</v>
      </c>
      <c r="B65">
        <v>9.35</v>
      </c>
      <c r="C65">
        <v>2515.31</v>
      </c>
      <c r="D65">
        <v>0.51</v>
      </c>
    </row>
    <row r="66" spans="1:4" x14ac:dyDescent="0.3">
      <c r="A66">
        <v>1416.4</v>
      </c>
      <c r="B66">
        <v>8.07</v>
      </c>
      <c r="C66">
        <v>1001.69</v>
      </c>
      <c r="D66">
        <v>0.54</v>
      </c>
    </row>
    <row r="67" spans="1:4" x14ac:dyDescent="0.3">
      <c r="A67">
        <v>1911.53</v>
      </c>
      <c r="B67">
        <v>12.83</v>
      </c>
      <c r="C67">
        <v>2208.19</v>
      </c>
      <c r="D67">
        <v>0.64</v>
      </c>
    </row>
    <row r="68" spans="1:4" x14ac:dyDescent="0.3">
      <c r="A68">
        <v>1651.58</v>
      </c>
      <c r="B68">
        <v>13.66</v>
      </c>
      <c r="C68">
        <v>1506.94</v>
      </c>
      <c r="D68">
        <v>0.64</v>
      </c>
    </row>
    <row r="69" spans="1:4" x14ac:dyDescent="0.3">
      <c r="A69">
        <v>1614.8</v>
      </c>
      <c r="B69">
        <v>8.4</v>
      </c>
      <c r="C69">
        <v>1878.96</v>
      </c>
      <c r="D69">
        <v>1.06</v>
      </c>
    </row>
    <row r="70" spans="1:4" x14ac:dyDescent="0.3">
      <c r="A70">
        <v>1957.38</v>
      </c>
      <c r="B70">
        <v>9.9</v>
      </c>
      <c r="C70">
        <v>1306.9000000000001</v>
      </c>
      <c r="D70">
        <v>0.56000000000000005</v>
      </c>
    </row>
    <row r="71" spans="1:4" x14ac:dyDescent="0.3">
      <c r="A71">
        <v>1088.19</v>
      </c>
      <c r="B71">
        <v>9.52</v>
      </c>
      <c r="C71">
        <v>1539.92</v>
      </c>
      <c r="D71">
        <v>2.86</v>
      </c>
    </row>
    <row r="72" spans="1:4" x14ac:dyDescent="0.3">
      <c r="A72">
        <v>2267.7399999999998</v>
      </c>
      <c r="B72">
        <v>19.18</v>
      </c>
      <c r="C72">
        <v>2671.3</v>
      </c>
      <c r="D72">
        <v>0.52</v>
      </c>
    </row>
    <row r="73" spans="1:4" x14ac:dyDescent="0.3">
      <c r="A73">
        <v>2589.58</v>
      </c>
      <c r="B73">
        <v>27.98</v>
      </c>
      <c r="C73">
        <v>1938.95</v>
      </c>
      <c r="D73">
        <v>0.53</v>
      </c>
    </row>
    <row r="74" spans="1:4" x14ac:dyDescent="0.3">
      <c r="A74">
        <v>2522.92</v>
      </c>
      <c r="B74">
        <v>11.13</v>
      </c>
      <c r="C74">
        <v>2525.64</v>
      </c>
      <c r="D74">
        <v>0.54</v>
      </c>
    </row>
    <row r="75" spans="1:4" x14ac:dyDescent="0.3">
      <c r="A75">
        <v>1461.51</v>
      </c>
      <c r="B75">
        <v>11.1</v>
      </c>
      <c r="C75">
        <v>1761.66</v>
      </c>
      <c r="D75">
        <v>0.51</v>
      </c>
    </row>
    <row r="76" spans="1:4" x14ac:dyDescent="0.3">
      <c r="A76">
        <v>1746.75</v>
      </c>
      <c r="B76">
        <v>9.58</v>
      </c>
      <c r="C76">
        <v>3757.16</v>
      </c>
      <c r="D76">
        <v>0.71</v>
      </c>
    </row>
    <row r="77" spans="1:4" x14ac:dyDescent="0.3">
      <c r="A77">
        <v>1914.77</v>
      </c>
      <c r="B77">
        <v>34.17</v>
      </c>
      <c r="C77">
        <v>3487.07</v>
      </c>
      <c r="D77">
        <v>0.72</v>
      </c>
    </row>
    <row r="78" spans="1:4" x14ac:dyDescent="0.3">
      <c r="A78">
        <v>2406.3200000000002</v>
      </c>
      <c r="B78">
        <v>48.8</v>
      </c>
      <c r="C78">
        <v>2074.23</v>
      </c>
      <c r="D78">
        <v>0.57999999999999996</v>
      </c>
    </row>
    <row r="79" spans="1:4" x14ac:dyDescent="0.3">
      <c r="A79">
        <v>1886.71</v>
      </c>
      <c r="B79">
        <v>11.43</v>
      </c>
      <c r="C79">
        <v>3501.52</v>
      </c>
      <c r="D79">
        <v>0.71</v>
      </c>
    </row>
    <row r="80" spans="1:4" x14ac:dyDescent="0.3">
      <c r="A80">
        <v>1331.23</v>
      </c>
      <c r="B80">
        <v>10.84</v>
      </c>
      <c r="C80">
        <v>1586.38</v>
      </c>
      <c r="D80">
        <v>0.55000000000000004</v>
      </c>
    </row>
    <row r="81" spans="1:4" x14ac:dyDescent="0.3">
      <c r="A81">
        <v>1616.45</v>
      </c>
      <c r="B81">
        <v>9.83</v>
      </c>
      <c r="C81">
        <v>4082.57</v>
      </c>
      <c r="D81">
        <v>0.62</v>
      </c>
    </row>
    <row r="82" spans="1:4" x14ac:dyDescent="0.3">
      <c r="A82">
        <v>3336.13</v>
      </c>
      <c r="B82">
        <v>14.28</v>
      </c>
      <c r="C82">
        <v>3997.87</v>
      </c>
      <c r="D82">
        <v>1.31</v>
      </c>
    </row>
    <row r="83" spans="1:4" x14ac:dyDescent="0.3">
      <c r="A83">
        <v>3069.98</v>
      </c>
      <c r="B83">
        <v>13.23</v>
      </c>
      <c r="C83">
        <v>1948.78</v>
      </c>
      <c r="D83">
        <v>1.87</v>
      </c>
    </row>
    <row r="84" spans="1:4" x14ac:dyDescent="0.3">
      <c r="A84">
        <v>2272.7399999999998</v>
      </c>
      <c r="B84">
        <v>35.06</v>
      </c>
      <c r="C84">
        <v>2488.13</v>
      </c>
      <c r="D84">
        <v>0.95</v>
      </c>
    </row>
    <row r="85" spans="1:4" x14ac:dyDescent="0.3">
      <c r="A85">
        <v>2570.14</v>
      </c>
      <c r="B85">
        <v>14.96</v>
      </c>
      <c r="C85">
        <v>3452.7</v>
      </c>
      <c r="D85">
        <v>3.58</v>
      </c>
    </row>
    <row r="86" spans="1:4" x14ac:dyDescent="0.3">
      <c r="A86">
        <v>3426.62</v>
      </c>
      <c r="B86">
        <v>21.35</v>
      </c>
      <c r="C86">
        <v>2425.79</v>
      </c>
      <c r="D86">
        <v>0.5</v>
      </c>
    </row>
    <row r="87" spans="1:4" x14ac:dyDescent="0.3">
      <c r="A87">
        <v>1218.1400000000001</v>
      </c>
      <c r="B87">
        <v>11.25</v>
      </c>
      <c r="C87">
        <v>1574.76</v>
      </c>
      <c r="D87">
        <v>0.52</v>
      </c>
    </row>
    <row r="88" spans="1:4" x14ac:dyDescent="0.3">
      <c r="A88">
        <v>1255.1199999999999</v>
      </c>
      <c r="B88">
        <v>13.3</v>
      </c>
      <c r="C88">
        <v>1220.2</v>
      </c>
      <c r="D88">
        <v>0.96</v>
      </c>
    </row>
    <row r="89" spans="1:4" x14ac:dyDescent="0.3">
      <c r="A89">
        <v>1289.45</v>
      </c>
      <c r="B89">
        <v>26.37</v>
      </c>
      <c r="C89">
        <v>1071.31</v>
      </c>
      <c r="D89">
        <v>0.61</v>
      </c>
    </row>
    <row r="90" spans="1:4" x14ac:dyDescent="0.3">
      <c r="A90">
        <v>1301.3699999999999</v>
      </c>
      <c r="B90">
        <v>23.52</v>
      </c>
      <c r="C90">
        <v>1139.72</v>
      </c>
      <c r="D90">
        <v>0.55000000000000004</v>
      </c>
    </row>
    <row r="91" spans="1:4" x14ac:dyDescent="0.3">
      <c r="A91">
        <v>1173.81</v>
      </c>
      <c r="B91">
        <v>7.97</v>
      </c>
      <c r="C91">
        <v>1139.9000000000001</v>
      </c>
      <c r="D91">
        <v>0.5</v>
      </c>
    </row>
    <row r="92" spans="1:4" x14ac:dyDescent="0.3">
      <c r="A92">
        <v>1377.02</v>
      </c>
      <c r="B92">
        <v>35.44</v>
      </c>
      <c r="C92">
        <v>1855.4</v>
      </c>
      <c r="D92">
        <v>0.63</v>
      </c>
    </row>
    <row r="93" spans="1:4" x14ac:dyDescent="0.3">
      <c r="A93">
        <v>1271.3699999999999</v>
      </c>
      <c r="B93">
        <v>13.15</v>
      </c>
      <c r="C93">
        <v>1210.0999999999999</v>
      </c>
      <c r="D93">
        <v>0.54</v>
      </c>
    </row>
    <row r="94" spans="1:4" x14ac:dyDescent="0.3">
      <c r="A94">
        <v>1318.7</v>
      </c>
      <c r="B94">
        <v>24.27</v>
      </c>
      <c r="C94">
        <v>1173.01</v>
      </c>
      <c r="D94">
        <v>0.5</v>
      </c>
    </row>
    <row r="95" spans="1:4" x14ac:dyDescent="0.3">
      <c r="A95">
        <v>1579.38</v>
      </c>
      <c r="B95">
        <v>57.79</v>
      </c>
      <c r="C95">
        <v>1387.64</v>
      </c>
      <c r="D95">
        <v>0.55000000000000004</v>
      </c>
    </row>
    <row r="96" spans="1:4" x14ac:dyDescent="0.3">
      <c r="A96">
        <v>2033.17</v>
      </c>
      <c r="B96">
        <v>67.28</v>
      </c>
      <c r="C96">
        <v>3540.91</v>
      </c>
      <c r="D96">
        <v>0.5</v>
      </c>
    </row>
    <row r="97" spans="1:4" x14ac:dyDescent="0.3">
      <c r="A97">
        <v>1631.83</v>
      </c>
      <c r="B97">
        <v>10.93</v>
      </c>
      <c r="C97">
        <v>1544.48</v>
      </c>
      <c r="D97">
        <v>0.55000000000000004</v>
      </c>
    </row>
    <row r="98" spans="1:4" x14ac:dyDescent="0.3">
      <c r="A98">
        <v>1160.58</v>
      </c>
      <c r="B98">
        <v>28.55</v>
      </c>
      <c r="C98">
        <v>1151.82</v>
      </c>
      <c r="D98">
        <v>0.48</v>
      </c>
    </row>
    <row r="99" spans="1:4" x14ac:dyDescent="0.3">
      <c r="A99">
        <v>1280.29</v>
      </c>
      <c r="B99">
        <v>9.5299999999999994</v>
      </c>
      <c r="C99">
        <v>1120.98</v>
      </c>
      <c r="D99">
        <v>0.63</v>
      </c>
    </row>
    <row r="100" spans="1:4" x14ac:dyDescent="0.3">
      <c r="A100">
        <v>1292.48</v>
      </c>
      <c r="B100">
        <v>10.41</v>
      </c>
      <c r="C100">
        <v>1674.24</v>
      </c>
      <c r="D100">
        <v>0.64</v>
      </c>
    </row>
    <row r="101" spans="1:4" x14ac:dyDescent="0.3">
      <c r="A101">
        <v>1348.83</v>
      </c>
      <c r="B101">
        <v>18.71</v>
      </c>
      <c r="C101">
        <v>999.61</v>
      </c>
      <c r="D101">
        <v>0.51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6580-7D00-4B62-84B8-356CA7C3610D}">
  <dimension ref="A1:M101"/>
  <sheetViews>
    <sheetView workbookViewId="0">
      <selection activeCell="H18" sqref="H18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929.53</v>
      </c>
      <c r="B2">
        <v>16.059999999999999</v>
      </c>
      <c r="C2">
        <v>1101.49</v>
      </c>
      <c r="D2">
        <v>18.36</v>
      </c>
      <c r="H2" t="s">
        <v>21</v>
      </c>
      <c r="I2" s="4">
        <f>AVERAGE(A$2:A$101)</f>
        <v>1013.3381999999998</v>
      </c>
      <c r="J2" s="4">
        <f>AVERAGE(B$2:B$101)</f>
        <v>17.314899999999994</v>
      </c>
      <c r="K2" s="4">
        <f>AVERAGE(C$2:C$101)</f>
        <v>766.48710000000017</v>
      </c>
      <c r="L2" s="4">
        <f t="shared" ref="L2" si="0">AVERAGE(D$2:D$101)</f>
        <v>18.222199999999997</v>
      </c>
      <c r="M2" s="4"/>
    </row>
    <row r="3" spans="1:13" x14ac:dyDescent="0.3">
      <c r="A3">
        <v>904.77</v>
      </c>
      <c r="B3">
        <v>16.809999999999999</v>
      </c>
      <c r="C3">
        <v>556.66</v>
      </c>
      <c r="D3">
        <v>19.260000000000002</v>
      </c>
      <c r="H3" t="s">
        <v>17</v>
      </c>
      <c r="I3" s="4">
        <f>MEDIAN(A$2:A$101)</f>
        <v>1020.665</v>
      </c>
      <c r="J3" s="4">
        <f t="shared" ref="J3:L3" si="1">MEDIAN(B$2:B$101)</f>
        <v>15.65</v>
      </c>
      <c r="K3" s="4">
        <f t="shared" si="1"/>
        <v>671.30500000000006</v>
      </c>
      <c r="L3" s="4">
        <f t="shared" si="1"/>
        <v>18.564999999999998</v>
      </c>
      <c r="M3" s="4"/>
    </row>
    <row r="4" spans="1:13" x14ac:dyDescent="0.3">
      <c r="A4">
        <v>896.48</v>
      </c>
      <c r="B4">
        <v>12.58</v>
      </c>
      <c r="C4">
        <v>536.76</v>
      </c>
      <c r="D4">
        <v>19.309999999999999</v>
      </c>
      <c r="H4" t="s">
        <v>18</v>
      </c>
      <c r="I4" s="4">
        <f>_xlfn.STDEV.S(A$2:A$101)</f>
        <v>101.90310097659672</v>
      </c>
      <c r="J4" s="4">
        <f t="shared" ref="J4:L4" si="2">_xlfn.STDEV.S(B$2:B$101)</f>
        <v>7.8913762539761416</v>
      </c>
      <c r="K4" s="4">
        <f t="shared" si="2"/>
        <v>335.0771574534146</v>
      </c>
      <c r="L4" s="4">
        <f t="shared" si="2"/>
        <v>3.2250053887669425</v>
      </c>
      <c r="M4" s="4"/>
    </row>
    <row r="5" spans="1:13" x14ac:dyDescent="0.3">
      <c r="A5">
        <v>886.11</v>
      </c>
      <c r="B5">
        <v>12.57</v>
      </c>
      <c r="C5">
        <v>529.34</v>
      </c>
      <c r="D5">
        <v>19</v>
      </c>
    </row>
    <row r="6" spans="1:13" x14ac:dyDescent="0.3">
      <c r="A6">
        <v>891.89</v>
      </c>
      <c r="B6">
        <v>12.39</v>
      </c>
      <c r="C6">
        <v>533.46</v>
      </c>
      <c r="D6">
        <v>18.89</v>
      </c>
    </row>
    <row r="7" spans="1:13" x14ac:dyDescent="0.3">
      <c r="A7">
        <v>989.8</v>
      </c>
      <c r="B7">
        <v>16.91</v>
      </c>
      <c r="C7">
        <v>1110.0999999999999</v>
      </c>
      <c r="D7">
        <v>18.18</v>
      </c>
    </row>
    <row r="8" spans="1:13" x14ac:dyDescent="0.3">
      <c r="A8">
        <v>912.73</v>
      </c>
      <c r="B8">
        <v>16.25</v>
      </c>
      <c r="C8">
        <v>536.6</v>
      </c>
      <c r="D8">
        <v>18.84</v>
      </c>
    </row>
    <row r="9" spans="1:13" x14ac:dyDescent="0.3">
      <c r="A9">
        <v>906.83</v>
      </c>
      <c r="B9">
        <v>13.02</v>
      </c>
      <c r="C9">
        <v>534.01</v>
      </c>
      <c r="D9">
        <v>18.690000000000001</v>
      </c>
    </row>
    <row r="10" spans="1:13" x14ac:dyDescent="0.3">
      <c r="A10">
        <v>923.71</v>
      </c>
      <c r="B10">
        <v>12.77</v>
      </c>
      <c r="C10">
        <v>561.6</v>
      </c>
      <c r="D10">
        <v>19.21</v>
      </c>
    </row>
    <row r="11" spans="1:13" x14ac:dyDescent="0.3">
      <c r="A11">
        <v>912.31</v>
      </c>
      <c r="B11">
        <v>12.75</v>
      </c>
      <c r="C11">
        <v>535.84</v>
      </c>
      <c r="D11">
        <v>18.940000000000001</v>
      </c>
    </row>
    <row r="12" spans="1:13" x14ac:dyDescent="0.3">
      <c r="A12">
        <v>943.34</v>
      </c>
      <c r="B12">
        <v>15.73</v>
      </c>
      <c r="C12">
        <v>1069.3599999999999</v>
      </c>
      <c r="D12">
        <v>17.89</v>
      </c>
    </row>
    <row r="13" spans="1:13" x14ac:dyDescent="0.3">
      <c r="A13">
        <v>947.07</v>
      </c>
      <c r="B13">
        <v>16.149999999999999</v>
      </c>
      <c r="C13">
        <v>547.30999999999995</v>
      </c>
      <c r="D13">
        <v>18.420000000000002</v>
      </c>
    </row>
    <row r="14" spans="1:13" x14ac:dyDescent="0.3">
      <c r="A14">
        <v>928.25</v>
      </c>
      <c r="B14">
        <v>16.79</v>
      </c>
      <c r="C14">
        <v>547.67999999999995</v>
      </c>
      <c r="D14">
        <v>18.48</v>
      </c>
    </row>
    <row r="15" spans="1:13" x14ac:dyDescent="0.3">
      <c r="A15">
        <v>1058.94</v>
      </c>
      <c r="B15">
        <v>12.94</v>
      </c>
      <c r="C15">
        <v>535.25</v>
      </c>
      <c r="D15">
        <v>18.149999999999999</v>
      </c>
    </row>
    <row r="16" spans="1:13" x14ac:dyDescent="0.3">
      <c r="A16">
        <v>905.9</v>
      </c>
      <c r="B16">
        <v>20.75</v>
      </c>
      <c r="C16">
        <v>531.69000000000005</v>
      </c>
      <c r="D16">
        <v>18.21</v>
      </c>
    </row>
    <row r="17" spans="1:4" x14ac:dyDescent="0.3">
      <c r="A17">
        <v>1001.96</v>
      </c>
      <c r="B17">
        <v>16.03</v>
      </c>
      <c r="C17">
        <v>1111.2</v>
      </c>
      <c r="D17">
        <v>17.59</v>
      </c>
    </row>
    <row r="18" spans="1:4" x14ac:dyDescent="0.3">
      <c r="A18">
        <v>985.85</v>
      </c>
      <c r="B18">
        <v>18.100000000000001</v>
      </c>
      <c r="C18">
        <v>637.44000000000005</v>
      </c>
      <c r="D18">
        <v>23.65</v>
      </c>
    </row>
    <row r="19" spans="1:4" x14ac:dyDescent="0.3">
      <c r="A19">
        <v>965.69</v>
      </c>
      <c r="B19">
        <v>13.57</v>
      </c>
      <c r="C19">
        <v>551.95000000000005</v>
      </c>
      <c r="D19">
        <v>18.61</v>
      </c>
    </row>
    <row r="20" spans="1:4" x14ac:dyDescent="0.3">
      <c r="A20">
        <v>926.93</v>
      </c>
      <c r="B20">
        <v>29.44</v>
      </c>
      <c r="C20">
        <v>535.97</v>
      </c>
      <c r="D20">
        <v>18.52</v>
      </c>
    </row>
    <row r="21" spans="1:4" x14ac:dyDescent="0.3">
      <c r="A21">
        <v>953.54</v>
      </c>
      <c r="B21">
        <v>13.83</v>
      </c>
      <c r="C21">
        <v>562.70000000000005</v>
      </c>
      <c r="D21">
        <v>18.77</v>
      </c>
    </row>
    <row r="22" spans="1:4" x14ac:dyDescent="0.3">
      <c r="A22">
        <v>967.53</v>
      </c>
      <c r="B22">
        <v>16.3</v>
      </c>
      <c r="C22">
        <v>1089.97</v>
      </c>
      <c r="D22">
        <v>18.48</v>
      </c>
    </row>
    <row r="23" spans="1:4" x14ac:dyDescent="0.3">
      <c r="A23">
        <v>929</v>
      </c>
      <c r="B23">
        <v>18.03</v>
      </c>
      <c r="C23">
        <v>573.37</v>
      </c>
      <c r="D23">
        <v>21.96</v>
      </c>
    </row>
    <row r="24" spans="1:4" x14ac:dyDescent="0.3">
      <c r="A24">
        <v>966.62</v>
      </c>
      <c r="B24">
        <v>14.65</v>
      </c>
      <c r="C24">
        <v>546.02</v>
      </c>
      <c r="D24">
        <v>20.440000000000001</v>
      </c>
    </row>
    <row r="25" spans="1:4" x14ac:dyDescent="0.3">
      <c r="A25">
        <v>911.55</v>
      </c>
      <c r="B25">
        <v>28.6</v>
      </c>
      <c r="C25">
        <v>536.36</v>
      </c>
      <c r="D25">
        <v>19.32</v>
      </c>
    </row>
    <row r="26" spans="1:4" x14ac:dyDescent="0.3">
      <c r="A26">
        <v>908.72</v>
      </c>
      <c r="B26">
        <v>14.51</v>
      </c>
      <c r="C26">
        <v>644.59</v>
      </c>
      <c r="D26">
        <v>18.52</v>
      </c>
    </row>
    <row r="27" spans="1:4" x14ac:dyDescent="0.3">
      <c r="A27">
        <v>941.64</v>
      </c>
      <c r="B27">
        <v>15.57</v>
      </c>
      <c r="C27">
        <v>1078.43</v>
      </c>
      <c r="D27">
        <v>17.73</v>
      </c>
    </row>
    <row r="28" spans="1:4" x14ac:dyDescent="0.3">
      <c r="A28">
        <v>934.67</v>
      </c>
      <c r="B28">
        <v>15.9</v>
      </c>
      <c r="C28">
        <v>520.86</v>
      </c>
      <c r="D28">
        <v>18.43</v>
      </c>
    </row>
    <row r="29" spans="1:4" x14ac:dyDescent="0.3">
      <c r="A29">
        <v>915.73</v>
      </c>
      <c r="B29">
        <v>12.59</v>
      </c>
      <c r="C29">
        <v>532.9</v>
      </c>
      <c r="D29">
        <v>18.12</v>
      </c>
    </row>
    <row r="30" spans="1:4" x14ac:dyDescent="0.3">
      <c r="A30">
        <v>976.5</v>
      </c>
      <c r="B30">
        <v>13</v>
      </c>
      <c r="C30">
        <v>538.30999999999995</v>
      </c>
      <c r="D30">
        <v>18.010000000000002</v>
      </c>
    </row>
    <row r="31" spans="1:4" x14ac:dyDescent="0.3">
      <c r="A31">
        <v>942.04</v>
      </c>
      <c r="B31">
        <v>12.36</v>
      </c>
      <c r="C31">
        <v>531.99</v>
      </c>
      <c r="D31">
        <v>18.079999999999998</v>
      </c>
    </row>
    <row r="32" spans="1:4" x14ac:dyDescent="0.3">
      <c r="A32">
        <v>928.28</v>
      </c>
      <c r="B32">
        <v>16.43</v>
      </c>
      <c r="C32">
        <v>1076.52</v>
      </c>
      <c r="D32">
        <v>18.329999999999998</v>
      </c>
    </row>
    <row r="33" spans="1:4" x14ac:dyDescent="0.3">
      <c r="A33">
        <v>939.17</v>
      </c>
      <c r="B33">
        <v>20.58</v>
      </c>
      <c r="C33">
        <v>578.58000000000004</v>
      </c>
      <c r="D33">
        <v>18.670000000000002</v>
      </c>
    </row>
    <row r="34" spans="1:4" x14ac:dyDescent="0.3">
      <c r="A34">
        <v>927.63</v>
      </c>
      <c r="B34">
        <v>12.87</v>
      </c>
      <c r="C34">
        <v>531.91</v>
      </c>
      <c r="D34">
        <v>18.8</v>
      </c>
    </row>
    <row r="35" spans="1:4" x14ac:dyDescent="0.3">
      <c r="A35">
        <v>900.84</v>
      </c>
      <c r="B35">
        <v>13.34</v>
      </c>
      <c r="C35">
        <v>535.57000000000005</v>
      </c>
      <c r="D35">
        <v>18.38</v>
      </c>
    </row>
    <row r="36" spans="1:4" x14ac:dyDescent="0.3">
      <c r="A36">
        <v>915.38</v>
      </c>
      <c r="B36">
        <v>12.95</v>
      </c>
      <c r="C36">
        <v>530.26</v>
      </c>
      <c r="D36">
        <v>18.350000000000001</v>
      </c>
    </row>
    <row r="37" spans="1:4" x14ac:dyDescent="0.3">
      <c r="A37">
        <v>1031.53</v>
      </c>
      <c r="B37">
        <v>16.22</v>
      </c>
      <c r="C37">
        <v>1186.1500000000001</v>
      </c>
      <c r="D37">
        <v>18.79</v>
      </c>
    </row>
    <row r="38" spans="1:4" x14ac:dyDescent="0.3">
      <c r="A38">
        <v>1033.1199999999999</v>
      </c>
      <c r="B38">
        <v>16.920000000000002</v>
      </c>
      <c r="C38">
        <v>669.25</v>
      </c>
      <c r="D38">
        <v>18.559999999999999</v>
      </c>
    </row>
    <row r="39" spans="1:4" x14ac:dyDescent="0.3">
      <c r="A39">
        <v>1694.88</v>
      </c>
      <c r="B39">
        <v>13.32</v>
      </c>
      <c r="C39">
        <v>676.17</v>
      </c>
      <c r="D39">
        <v>18.059999999999999</v>
      </c>
    </row>
    <row r="40" spans="1:4" x14ac:dyDescent="0.3">
      <c r="A40">
        <v>1004.56</v>
      </c>
      <c r="B40">
        <v>13.63</v>
      </c>
      <c r="C40">
        <v>676.56</v>
      </c>
      <c r="D40">
        <v>18.47</v>
      </c>
    </row>
    <row r="41" spans="1:4" x14ac:dyDescent="0.3">
      <c r="A41">
        <v>1012.6</v>
      </c>
      <c r="B41">
        <v>55.35</v>
      </c>
      <c r="C41">
        <v>658.95</v>
      </c>
      <c r="D41">
        <v>18.649999999999999</v>
      </c>
    </row>
    <row r="42" spans="1:4" x14ac:dyDescent="0.3">
      <c r="A42">
        <v>1005.63</v>
      </c>
      <c r="B42">
        <v>34</v>
      </c>
      <c r="C42">
        <v>1243.6199999999999</v>
      </c>
      <c r="D42">
        <v>18.23</v>
      </c>
    </row>
    <row r="43" spans="1:4" x14ac:dyDescent="0.3">
      <c r="A43">
        <v>1040</v>
      </c>
      <c r="B43">
        <v>17.03</v>
      </c>
      <c r="C43">
        <v>650.39</v>
      </c>
      <c r="D43">
        <v>18.3</v>
      </c>
    </row>
    <row r="44" spans="1:4" x14ac:dyDescent="0.3">
      <c r="A44">
        <v>1026.6099999999999</v>
      </c>
      <c r="B44">
        <v>12.8</v>
      </c>
      <c r="C44">
        <v>640.83000000000004</v>
      </c>
      <c r="D44">
        <v>20.74</v>
      </c>
    </row>
    <row r="45" spans="1:4" x14ac:dyDescent="0.3">
      <c r="A45">
        <v>1026.3599999999999</v>
      </c>
      <c r="B45">
        <v>13.06</v>
      </c>
      <c r="C45">
        <v>647.63</v>
      </c>
      <c r="D45">
        <v>18.170000000000002</v>
      </c>
    </row>
    <row r="46" spans="1:4" x14ac:dyDescent="0.3">
      <c r="A46">
        <v>1020.57</v>
      </c>
      <c r="B46">
        <v>20.3</v>
      </c>
      <c r="C46">
        <v>673.43</v>
      </c>
      <c r="D46">
        <v>17.37</v>
      </c>
    </row>
    <row r="47" spans="1:4" x14ac:dyDescent="0.3">
      <c r="A47">
        <v>1036.93</v>
      </c>
      <c r="B47">
        <v>18.75</v>
      </c>
      <c r="C47">
        <v>1242.26</v>
      </c>
      <c r="D47">
        <v>20.18</v>
      </c>
    </row>
    <row r="48" spans="1:4" x14ac:dyDescent="0.3">
      <c r="A48">
        <v>1041.9000000000001</v>
      </c>
      <c r="B48">
        <v>40.54</v>
      </c>
      <c r="C48">
        <v>696.32</v>
      </c>
      <c r="D48">
        <v>28.64</v>
      </c>
    </row>
    <row r="49" spans="1:4" x14ac:dyDescent="0.3">
      <c r="A49">
        <v>1106.74</v>
      </c>
      <c r="B49">
        <v>14.79</v>
      </c>
      <c r="C49">
        <v>686.18</v>
      </c>
      <c r="D49">
        <v>20.3</v>
      </c>
    </row>
    <row r="50" spans="1:4" x14ac:dyDescent="0.3">
      <c r="A50">
        <v>1054.8499999999999</v>
      </c>
      <c r="B50">
        <v>22.64</v>
      </c>
      <c r="C50">
        <v>693.44</v>
      </c>
      <c r="D50">
        <v>20.18</v>
      </c>
    </row>
    <row r="51" spans="1:4" x14ac:dyDescent="0.3">
      <c r="A51">
        <v>1091.1500000000001</v>
      </c>
      <c r="B51">
        <v>15.3</v>
      </c>
      <c r="C51">
        <v>689.54</v>
      </c>
      <c r="D51">
        <v>20.73</v>
      </c>
    </row>
    <row r="52" spans="1:4" x14ac:dyDescent="0.3">
      <c r="A52">
        <v>1112.95</v>
      </c>
      <c r="B52">
        <v>29.02</v>
      </c>
      <c r="C52">
        <v>1277.48</v>
      </c>
      <c r="D52">
        <v>18.63</v>
      </c>
    </row>
    <row r="53" spans="1:4" x14ac:dyDescent="0.3">
      <c r="A53">
        <v>1057.3399999999999</v>
      </c>
      <c r="B53">
        <v>38</v>
      </c>
      <c r="C53">
        <v>718.02</v>
      </c>
      <c r="D53">
        <v>18.98</v>
      </c>
    </row>
    <row r="54" spans="1:4" x14ac:dyDescent="0.3">
      <c r="A54">
        <v>1139.8699999999999</v>
      </c>
      <c r="B54">
        <v>25.96</v>
      </c>
      <c r="C54">
        <v>651.61</v>
      </c>
      <c r="D54">
        <v>18.52</v>
      </c>
    </row>
    <row r="55" spans="1:4" x14ac:dyDescent="0.3">
      <c r="A55">
        <v>1062.8399999999999</v>
      </c>
      <c r="B55">
        <v>13.05</v>
      </c>
      <c r="C55">
        <v>680.25</v>
      </c>
      <c r="D55">
        <v>18.28</v>
      </c>
    </row>
    <row r="56" spans="1:4" x14ac:dyDescent="0.3">
      <c r="A56">
        <v>1108.5</v>
      </c>
      <c r="B56">
        <v>12.79</v>
      </c>
      <c r="C56">
        <v>673.75</v>
      </c>
      <c r="D56">
        <v>18.57</v>
      </c>
    </row>
    <row r="57" spans="1:4" x14ac:dyDescent="0.3">
      <c r="A57">
        <v>975.93</v>
      </c>
      <c r="B57">
        <v>16.440000000000001</v>
      </c>
      <c r="C57">
        <v>1201.3499999999999</v>
      </c>
      <c r="D57">
        <v>18.23</v>
      </c>
    </row>
    <row r="58" spans="1:4" x14ac:dyDescent="0.3">
      <c r="A58">
        <v>1023.6</v>
      </c>
      <c r="B58">
        <v>27.64</v>
      </c>
      <c r="C58">
        <v>649.08000000000004</v>
      </c>
      <c r="D58">
        <v>18.59</v>
      </c>
    </row>
    <row r="59" spans="1:4" x14ac:dyDescent="0.3">
      <c r="A59">
        <v>1077.8</v>
      </c>
      <c r="B59">
        <v>13.35</v>
      </c>
      <c r="C59">
        <v>681.54</v>
      </c>
      <c r="D59">
        <v>18.36</v>
      </c>
    </row>
    <row r="60" spans="1:4" x14ac:dyDescent="0.3">
      <c r="A60">
        <v>1073.42</v>
      </c>
      <c r="B60">
        <v>13.08</v>
      </c>
      <c r="C60">
        <v>670.22</v>
      </c>
      <c r="D60">
        <v>18.28</v>
      </c>
    </row>
    <row r="61" spans="1:4" x14ac:dyDescent="0.3">
      <c r="A61">
        <v>1065.28</v>
      </c>
      <c r="B61">
        <v>12.89</v>
      </c>
      <c r="C61">
        <v>679.61</v>
      </c>
      <c r="D61">
        <v>20.03</v>
      </c>
    </row>
    <row r="62" spans="1:4" x14ac:dyDescent="0.3">
      <c r="A62">
        <v>1070.22</v>
      </c>
      <c r="B62">
        <v>28.8</v>
      </c>
      <c r="C62">
        <v>2849.73</v>
      </c>
      <c r="D62">
        <v>18.190000000000001</v>
      </c>
    </row>
    <row r="63" spans="1:4" x14ac:dyDescent="0.3">
      <c r="A63">
        <v>1028.53</v>
      </c>
      <c r="B63">
        <v>16.36</v>
      </c>
      <c r="C63">
        <v>683.19</v>
      </c>
      <c r="D63">
        <v>20.3</v>
      </c>
    </row>
    <row r="64" spans="1:4" x14ac:dyDescent="0.3">
      <c r="A64">
        <v>1044.8</v>
      </c>
      <c r="B64">
        <v>29.54</v>
      </c>
      <c r="C64">
        <v>717.07</v>
      </c>
      <c r="D64">
        <v>18.329999999999998</v>
      </c>
    </row>
    <row r="65" spans="1:4" x14ac:dyDescent="0.3">
      <c r="A65">
        <v>1192.03</v>
      </c>
      <c r="B65">
        <v>16.12</v>
      </c>
      <c r="C65">
        <v>707.68</v>
      </c>
      <c r="D65">
        <v>18.34</v>
      </c>
    </row>
    <row r="66" spans="1:4" x14ac:dyDescent="0.3">
      <c r="A66">
        <v>1084.7</v>
      </c>
      <c r="B66">
        <v>12.31</v>
      </c>
      <c r="C66">
        <v>704.62</v>
      </c>
      <c r="D66">
        <v>18.39</v>
      </c>
    </row>
    <row r="67" spans="1:4" x14ac:dyDescent="0.3">
      <c r="A67">
        <v>1033.33</v>
      </c>
      <c r="B67">
        <v>16.440000000000001</v>
      </c>
      <c r="C67">
        <v>1235.45</v>
      </c>
      <c r="D67">
        <v>20.12</v>
      </c>
    </row>
    <row r="68" spans="1:4" x14ac:dyDescent="0.3">
      <c r="A68">
        <v>1040.95</v>
      </c>
      <c r="B68">
        <v>17.43</v>
      </c>
      <c r="C68">
        <v>784.58</v>
      </c>
      <c r="D68">
        <v>19.28</v>
      </c>
    </row>
    <row r="69" spans="1:4" x14ac:dyDescent="0.3">
      <c r="A69">
        <v>1102.27</v>
      </c>
      <c r="B69">
        <v>13.59</v>
      </c>
      <c r="C69">
        <v>669.27</v>
      </c>
      <c r="D69">
        <v>18.71</v>
      </c>
    </row>
    <row r="70" spans="1:4" x14ac:dyDescent="0.3">
      <c r="A70">
        <v>1093.95</v>
      </c>
      <c r="B70">
        <v>52.7</v>
      </c>
      <c r="C70">
        <v>713.04</v>
      </c>
      <c r="D70">
        <v>22.06</v>
      </c>
    </row>
    <row r="71" spans="1:4" x14ac:dyDescent="0.3">
      <c r="A71">
        <v>1066.98</v>
      </c>
      <c r="B71">
        <v>13.97</v>
      </c>
      <c r="C71">
        <v>657.46</v>
      </c>
      <c r="D71">
        <v>18.66</v>
      </c>
    </row>
    <row r="72" spans="1:4" x14ac:dyDescent="0.3">
      <c r="A72">
        <v>1057.4000000000001</v>
      </c>
      <c r="B72">
        <v>16.489999999999998</v>
      </c>
      <c r="C72">
        <v>1228.56</v>
      </c>
      <c r="D72">
        <v>18.78</v>
      </c>
    </row>
    <row r="73" spans="1:4" x14ac:dyDescent="0.3">
      <c r="A73">
        <v>1110.71</v>
      </c>
      <c r="B73">
        <v>17.489999999999998</v>
      </c>
      <c r="C73">
        <v>685.07</v>
      </c>
      <c r="D73">
        <v>18.75</v>
      </c>
    </row>
    <row r="74" spans="1:4" x14ac:dyDescent="0.3">
      <c r="A74">
        <v>1096.71</v>
      </c>
      <c r="B74">
        <v>13.44</v>
      </c>
      <c r="C74">
        <v>672.04</v>
      </c>
      <c r="D74">
        <v>18.91</v>
      </c>
    </row>
    <row r="75" spans="1:4" x14ac:dyDescent="0.3">
      <c r="A75">
        <v>1102.1300000000001</v>
      </c>
      <c r="B75">
        <v>21.8</v>
      </c>
      <c r="C75">
        <v>700.67</v>
      </c>
      <c r="D75">
        <v>19.010000000000002</v>
      </c>
    </row>
    <row r="76" spans="1:4" x14ac:dyDescent="0.3">
      <c r="A76">
        <v>1027.68</v>
      </c>
      <c r="B76">
        <v>13.72</v>
      </c>
      <c r="C76">
        <v>665.54</v>
      </c>
      <c r="D76">
        <v>19.059999999999999</v>
      </c>
    </row>
    <row r="77" spans="1:4" x14ac:dyDescent="0.3">
      <c r="A77">
        <v>1038.17</v>
      </c>
      <c r="B77">
        <v>16.059999999999999</v>
      </c>
      <c r="C77">
        <v>1231.06</v>
      </c>
      <c r="D77">
        <v>18</v>
      </c>
    </row>
    <row r="78" spans="1:4" x14ac:dyDescent="0.3">
      <c r="A78">
        <v>1100.98</v>
      </c>
      <c r="B78">
        <v>17.239999999999998</v>
      </c>
      <c r="C78">
        <v>677.7</v>
      </c>
      <c r="D78">
        <v>19.23</v>
      </c>
    </row>
    <row r="79" spans="1:4" x14ac:dyDescent="0.3">
      <c r="A79">
        <v>1166.6099999999999</v>
      </c>
      <c r="B79">
        <v>12.96</v>
      </c>
      <c r="C79">
        <v>724.34</v>
      </c>
      <c r="D79">
        <v>20.37</v>
      </c>
    </row>
    <row r="80" spans="1:4" x14ac:dyDescent="0.3">
      <c r="A80">
        <v>1088.1099999999999</v>
      </c>
      <c r="B80">
        <v>13.26</v>
      </c>
      <c r="C80">
        <v>670.57</v>
      </c>
      <c r="D80">
        <v>19.84</v>
      </c>
    </row>
    <row r="81" spans="1:4" x14ac:dyDescent="0.3">
      <c r="A81">
        <v>1025.18</v>
      </c>
      <c r="B81">
        <v>25.09</v>
      </c>
      <c r="C81">
        <v>651.21</v>
      </c>
      <c r="D81">
        <v>18.64</v>
      </c>
    </row>
    <row r="82" spans="1:4" x14ac:dyDescent="0.3">
      <c r="A82">
        <v>1004.29</v>
      </c>
      <c r="B82">
        <v>16.57</v>
      </c>
      <c r="C82">
        <v>1265.26</v>
      </c>
      <c r="D82">
        <v>18.18</v>
      </c>
    </row>
    <row r="83" spans="1:4" x14ac:dyDescent="0.3">
      <c r="A83">
        <v>1043.45</v>
      </c>
      <c r="B83">
        <v>17.43</v>
      </c>
      <c r="C83">
        <v>677.75</v>
      </c>
      <c r="D83">
        <v>19.43</v>
      </c>
    </row>
    <row r="84" spans="1:4" x14ac:dyDescent="0.3">
      <c r="A84">
        <v>1044.8800000000001</v>
      </c>
      <c r="B84">
        <v>17.22</v>
      </c>
      <c r="C84">
        <v>707.59</v>
      </c>
      <c r="D84">
        <v>25.47</v>
      </c>
    </row>
    <row r="85" spans="1:4" x14ac:dyDescent="0.3">
      <c r="A85">
        <v>1092.81</v>
      </c>
      <c r="B85">
        <v>20.79</v>
      </c>
      <c r="C85">
        <v>684.83</v>
      </c>
      <c r="D85">
        <v>18.27</v>
      </c>
    </row>
    <row r="86" spans="1:4" x14ac:dyDescent="0.3">
      <c r="A86">
        <v>1061.77</v>
      </c>
      <c r="B86">
        <v>13.91</v>
      </c>
      <c r="C86">
        <v>769.95</v>
      </c>
      <c r="D86">
        <v>18.399999999999999</v>
      </c>
    </row>
    <row r="87" spans="1:4" x14ac:dyDescent="0.3">
      <c r="A87">
        <v>1020.76</v>
      </c>
      <c r="B87">
        <v>15.41</v>
      </c>
      <c r="C87">
        <v>2214.2399999999998</v>
      </c>
      <c r="D87">
        <v>18.059999999999999</v>
      </c>
    </row>
    <row r="88" spans="1:4" x14ac:dyDescent="0.3">
      <c r="A88">
        <v>1037.3800000000001</v>
      </c>
      <c r="B88">
        <v>16.96</v>
      </c>
      <c r="C88">
        <v>658.57</v>
      </c>
      <c r="D88">
        <v>18.670000000000002</v>
      </c>
    </row>
    <row r="89" spans="1:4" x14ac:dyDescent="0.3">
      <c r="A89">
        <v>1008.07</v>
      </c>
      <c r="B89">
        <v>12.41</v>
      </c>
      <c r="C89">
        <v>669.57</v>
      </c>
      <c r="D89">
        <v>18.71</v>
      </c>
    </row>
    <row r="90" spans="1:4" x14ac:dyDescent="0.3">
      <c r="A90">
        <v>1090.6600000000001</v>
      </c>
      <c r="B90">
        <v>15.36</v>
      </c>
      <c r="C90">
        <v>760.9</v>
      </c>
      <c r="D90">
        <v>25.41</v>
      </c>
    </row>
    <row r="91" spans="1:4" x14ac:dyDescent="0.3">
      <c r="A91">
        <v>1094.71</v>
      </c>
      <c r="B91">
        <v>12.78</v>
      </c>
      <c r="C91">
        <v>728.98</v>
      </c>
      <c r="D91">
        <v>18.739999999999998</v>
      </c>
    </row>
    <row r="92" spans="1:4" x14ac:dyDescent="0.3">
      <c r="A92">
        <v>980.95</v>
      </c>
      <c r="B92">
        <v>10.6</v>
      </c>
      <c r="C92">
        <v>1081.8499999999999</v>
      </c>
      <c r="D92">
        <v>9.43</v>
      </c>
    </row>
    <row r="93" spans="1:4" x14ac:dyDescent="0.3">
      <c r="A93">
        <v>1180.42</v>
      </c>
      <c r="B93">
        <v>11.77</v>
      </c>
      <c r="C93">
        <v>630.85</v>
      </c>
      <c r="D93">
        <v>9.2899999999999991</v>
      </c>
    </row>
    <row r="94" spans="1:4" x14ac:dyDescent="0.3">
      <c r="A94">
        <v>899.18</v>
      </c>
      <c r="B94">
        <v>8.34</v>
      </c>
      <c r="C94">
        <v>617.65</v>
      </c>
      <c r="D94">
        <v>9.75</v>
      </c>
    </row>
    <row r="95" spans="1:4" x14ac:dyDescent="0.3">
      <c r="A95">
        <v>959.42</v>
      </c>
      <c r="B95">
        <v>8.8000000000000007</v>
      </c>
      <c r="C95">
        <v>614.6</v>
      </c>
      <c r="D95">
        <v>10.07</v>
      </c>
    </row>
    <row r="96" spans="1:4" x14ac:dyDescent="0.3">
      <c r="A96">
        <v>909.21</v>
      </c>
      <c r="B96">
        <v>13.26</v>
      </c>
      <c r="C96">
        <v>680.61</v>
      </c>
      <c r="D96">
        <v>9.86</v>
      </c>
    </row>
    <row r="97" spans="1:4" x14ac:dyDescent="0.3">
      <c r="A97">
        <v>945.46</v>
      </c>
      <c r="B97">
        <v>17.829999999999998</v>
      </c>
      <c r="C97">
        <v>1025.27</v>
      </c>
      <c r="D97">
        <v>8.9600000000000009</v>
      </c>
    </row>
    <row r="98" spans="1:4" x14ac:dyDescent="0.3">
      <c r="A98">
        <v>915.97</v>
      </c>
      <c r="B98">
        <v>11.76</v>
      </c>
      <c r="C98">
        <v>652.16999999999996</v>
      </c>
      <c r="D98">
        <v>9.76</v>
      </c>
    </row>
    <row r="99" spans="1:4" x14ac:dyDescent="0.3">
      <c r="A99">
        <v>928.21</v>
      </c>
      <c r="B99">
        <v>8.25</v>
      </c>
      <c r="C99">
        <v>659.7</v>
      </c>
      <c r="D99">
        <v>12.29</v>
      </c>
    </row>
    <row r="100" spans="1:4" x14ac:dyDescent="0.3">
      <c r="A100">
        <v>910.87</v>
      </c>
      <c r="B100">
        <v>8.84</v>
      </c>
      <c r="C100">
        <v>651.83000000000004</v>
      </c>
      <c r="D100">
        <v>9.91</v>
      </c>
    </row>
    <row r="101" spans="1:4" x14ac:dyDescent="0.3">
      <c r="A101">
        <v>932.02</v>
      </c>
      <c r="B101">
        <v>8.4</v>
      </c>
      <c r="C101">
        <v>642.01</v>
      </c>
      <c r="D101">
        <v>10.16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4663-5D7E-4CBE-AA43-7974F032F427}">
  <dimension ref="A1:M101"/>
  <sheetViews>
    <sheetView workbookViewId="0">
      <selection activeCell="G19" sqref="G19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1931.69</v>
      </c>
      <c r="B2">
        <v>18.2</v>
      </c>
      <c r="C2">
        <v>1996.36</v>
      </c>
      <c r="D2">
        <v>11.51</v>
      </c>
      <c r="H2" t="s">
        <v>21</v>
      </c>
      <c r="I2" s="4">
        <f>AVERAGE(A$2:A$101)</f>
        <v>2016.0223999999996</v>
      </c>
      <c r="J2" s="4">
        <f>AVERAGE(B$2:B$101)</f>
        <v>19.8904</v>
      </c>
      <c r="K2" s="4">
        <f>AVERAGE(C$2:C$101)</f>
        <v>998.04989999999987</v>
      </c>
      <c r="L2" s="4">
        <f t="shared" ref="L2" si="0">AVERAGE(D$2:D$101)</f>
        <v>17.43330000000001</v>
      </c>
      <c r="M2" s="4"/>
    </row>
    <row r="3" spans="1:13" x14ac:dyDescent="0.3">
      <c r="A3">
        <v>1895.71</v>
      </c>
      <c r="B3">
        <v>16.71</v>
      </c>
      <c r="C3">
        <v>675.18</v>
      </c>
      <c r="D3">
        <v>16.3</v>
      </c>
      <c r="H3" t="s">
        <v>17</v>
      </c>
      <c r="I3" s="4">
        <f>MEDIAN(A$2:A$101)</f>
        <v>1950.25</v>
      </c>
      <c r="J3" s="4">
        <f t="shared" ref="J3:L3" si="1">MEDIAN(B$2:B$101)</f>
        <v>17.495000000000001</v>
      </c>
      <c r="K3" s="4">
        <f t="shared" si="1"/>
        <v>671.02</v>
      </c>
      <c r="L3" s="4">
        <f t="shared" si="1"/>
        <v>14.795</v>
      </c>
      <c r="M3" s="4"/>
    </row>
    <row r="4" spans="1:13" x14ac:dyDescent="0.3">
      <c r="A4">
        <v>1960.31</v>
      </c>
      <c r="B4">
        <v>14.28</v>
      </c>
      <c r="C4">
        <v>739.88</v>
      </c>
      <c r="D4">
        <v>16.41</v>
      </c>
      <c r="H4" t="s">
        <v>18</v>
      </c>
      <c r="I4" s="4">
        <f>_xlfn.STDEV.S(A$2:A$101)</f>
        <v>340.31944939810552</v>
      </c>
      <c r="J4" s="4">
        <f t="shared" ref="J4:L4" si="2">_xlfn.STDEV.S(B$2:B$101)</f>
        <v>9.3778040030271512</v>
      </c>
      <c r="K4" s="4">
        <f t="shared" si="2"/>
        <v>647.59255818855911</v>
      </c>
      <c r="L4" s="4">
        <f t="shared" si="2"/>
        <v>7.7162813641616674</v>
      </c>
      <c r="M4" s="4"/>
    </row>
    <row r="5" spans="1:13" x14ac:dyDescent="0.3">
      <c r="A5">
        <v>1977.08</v>
      </c>
      <c r="B5">
        <v>15.4</v>
      </c>
      <c r="C5">
        <v>773.49</v>
      </c>
      <c r="D5">
        <v>17.77</v>
      </c>
    </row>
    <row r="6" spans="1:13" x14ac:dyDescent="0.3">
      <c r="A6">
        <v>2669.15</v>
      </c>
      <c r="B6">
        <v>14.2</v>
      </c>
      <c r="C6">
        <v>713.85</v>
      </c>
      <c r="D6">
        <v>14.68</v>
      </c>
    </row>
    <row r="7" spans="1:13" x14ac:dyDescent="0.3">
      <c r="A7">
        <v>2069.14</v>
      </c>
      <c r="B7">
        <v>19.32</v>
      </c>
      <c r="C7">
        <v>2243.41</v>
      </c>
      <c r="D7">
        <v>10.91</v>
      </c>
    </row>
    <row r="8" spans="1:13" x14ac:dyDescent="0.3">
      <c r="A8">
        <v>1882.48</v>
      </c>
      <c r="B8">
        <v>17.62</v>
      </c>
      <c r="C8">
        <v>586.25</v>
      </c>
      <c r="D8">
        <v>14.5</v>
      </c>
    </row>
    <row r="9" spans="1:13" x14ac:dyDescent="0.3">
      <c r="A9">
        <v>1891.4</v>
      </c>
      <c r="B9">
        <v>16.329999999999998</v>
      </c>
      <c r="C9">
        <v>761.89</v>
      </c>
      <c r="D9">
        <v>21.78</v>
      </c>
    </row>
    <row r="10" spans="1:13" x14ac:dyDescent="0.3">
      <c r="A10">
        <v>1969.73</v>
      </c>
      <c r="B10">
        <v>16.45</v>
      </c>
      <c r="C10">
        <v>737.65</v>
      </c>
      <c r="D10">
        <v>16.489999999999998</v>
      </c>
    </row>
    <row r="11" spans="1:13" x14ac:dyDescent="0.3">
      <c r="A11">
        <v>1900.31</v>
      </c>
      <c r="B11">
        <v>10.65</v>
      </c>
      <c r="C11">
        <v>641.58000000000004</v>
      </c>
      <c r="D11">
        <v>11.33</v>
      </c>
    </row>
    <row r="12" spans="1:13" x14ac:dyDescent="0.3">
      <c r="A12">
        <v>1809.85</v>
      </c>
      <c r="B12">
        <v>17.07</v>
      </c>
      <c r="C12">
        <v>1970.68</v>
      </c>
      <c r="D12">
        <v>11.91</v>
      </c>
    </row>
    <row r="13" spans="1:13" x14ac:dyDescent="0.3">
      <c r="A13">
        <v>1899.85</v>
      </c>
      <c r="B13">
        <v>18.79</v>
      </c>
      <c r="C13">
        <v>666.86</v>
      </c>
      <c r="D13">
        <v>12.71</v>
      </c>
    </row>
    <row r="14" spans="1:13" x14ac:dyDescent="0.3">
      <c r="A14">
        <v>1947.22</v>
      </c>
      <c r="B14">
        <v>11.47</v>
      </c>
      <c r="C14">
        <v>711.6</v>
      </c>
      <c r="D14">
        <v>12.57</v>
      </c>
    </row>
    <row r="15" spans="1:13" x14ac:dyDescent="0.3">
      <c r="A15">
        <v>1910.86</v>
      </c>
      <c r="B15">
        <v>15.64</v>
      </c>
      <c r="C15">
        <v>698.9</v>
      </c>
      <c r="D15">
        <v>12.65</v>
      </c>
    </row>
    <row r="16" spans="1:13" x14ac:dyDescent="0.3">
      <c r="A16">
        <v>1938.12</v>
      </c>
      <c r="B16">
        <v>17.3</v>
      </c>
      <c r="C16">
        <v>772.08</v>
      </c>
      <c r="D16">
        <v>13.91</v>
      </c>
    </row>
    <row r="17" spans="1:4" x14ac:dyDescent="0.3">
      <c r="A17">
        <v>1936.77</v>
      </c>
      <c r="B17">
        <v>23.45</v>
      </c>
      <c r="C17">
        <v>2327.64</v>
      </c>
      <c r="D17">
        <v>13.05</v>
      </c>
    </row>
    <row r="18" spans="1:4" x14ac:dyDescent="0.3">
      <c r="A18">
        <v>1857.24</v>
      </c>
      <c r="B18">
        <v>23.03</v>
      </c>
      <c r="C18">
        <v>546.11</v>
      </c>
      <c r="D18">
        <v>11.95</v>
      </c>
    </row>
    <row r="19" spans="1:4" x14ac:dyDescent="0.3">
      <c r="A19">
        <v>1773.82</v>
      </c>
      <c r="B19">
        <v>11.21</v>
      </c>
      <c r="C19">
        <v>494.95</v>
      </c>
      <c r="D19">
        <v>11.61</v>
      </c>
    </row>
    <row r="20" spans="1:4" x14ac:dyDescent="0.3">
      <c r="A20">
        <v>1862.67</v>
      </c>
      <c r="B20">
        <v>11.12</v>
      </c>
      <c r="C20">
        <v>655.13</v>
      </c>
      <c r="D20">
        <v>12.52</v>
      </c>
    </row>
    <row r="21" spans="1:4" x14ac:dyDescent="0.3">
      <c r="A21">
        <v>1781.16</v>
      </c>
      <c r="B21">
        <v>14.11</v>
      </c>
      <c r="C21">
        <v>634.92999999999995</v>
      </c>
      <c r="D21">
        <v>14.57</v>
      </c>
    </row>
    <row r="22" spans="1:4" x14ac:dyDescent="0.3">
      <c r="A22">
        <v>1878.61</v>
      </c>
      <c r="B22">
        <v>18.47</v>
      </c>
      <c r="C22">
        <v>2037.09</v>
      </c>
      <c r="D22">
        <v>17.75</v>
      </c>
    </row>
    <row r="23" spans="1:4" x14ac:dyDescent="0.3">
      <c r="A23">
        <v>1900.4</v>
      </c>
      <c r="B23">
        <v>15.31</v>
      </c>
      <c r="C23">
        <v>638.41999999999996</v>
      </c>
      <c r="D23">
        <v>11.09</v>
      </c>
    </row>
    <row r="24" spans="1:4" x14ac:dyDescent="0.3">
      <c r="A24">
        <v>1796.37</v>
      </c>
      <c r="B24">
        <v>14.24</v>
      </c>
      <c r="C24">
        <v>579.36</v>
      </c>
      <c r="D24">
        <v>13.55</v>
      </c>
    </row>
    <row r="25" spans="1:4" x14ac:dyDescent="0.3">
      <c r="A25">
        <v>1912</v>
      </c>
      <c r="B25">
        <v>17.7</v>
      </c>
      <c r="C25">
        <v>755.92</v>
      </c>
      <c r="D25">
        <v>14.96</v>
      </c>
    </row>
    <row r="26" spans="1:4" x14ac:dyDescent="0.3">
      <c r="A26">
        <v>1977.6</v>
      </c>
      <c r="B26">
        <v>14.81</v>
      </c>
      <c r="C26">
        <v>717.09</v>
      </c>
      <c r="D26">
        <v>13.95</v>
      </c>
    </row>
    <row r="27" spans="1:4" x14ac:dyDescent="0.3">
      <c r="A27">
        <v>1840.5</v>
      </c>
      <c r="B27">
        <v>14.5</v>
      </c>
      <c r="C27">
        <v>1863.82</v>
      </c>
      <c r="D27">
        <v>12.68</v>
      </c>
    </row>
    <row r="28" spans="1:4" x14ac:dyDescent="0.3">
      <c r="A28">
        <v>2072.7199999999998</v>
      </c>
      <c r="B28">
        <v>16.71</v>
      </c>
      <c r="C28">
        <v>620.39</v>
      </c>
      <c r="D28">
        <v>18.899999999999999</v>
      </c>
    </row>
    <row r="29" spans="1:4" x14ac:dyDescent="0.3">
      <c r="A29">
        <v>1666.75</v>
      </c>
      <c r="B29">
        <v>12.95</v>
      </c>
      <c r="C29">
        <v>597.33000000000004</v>
      </c>
      <c r="D29">
        <v>12.52</v>
      </c>
    </row>
    <row r="30" spans="1:4" x14ac:dyDescent="0.3">
      <c r="A30">
        <v>1815.19</v>
      </c>
      <c r="B30">
        <v>14.24</v>
      </c>
      <c r="C30">
        <v>653.69000000000005</v>
      </c>
      <c r="D30">
        <v>14.16</v>
      </c>
    </row>
    <row r="31" spans="1:4" x14ac:dyDescent="0.3">
      <c r="A31">
        <v>1828.45</v>
      </c>
      <c r="B31">
        <v>15.54</v>
      </c>
      <c r="C31">
        <v>515.83000000000004</v>
      </c>
      <c r="D31">
        <v>16.649999999999999</v>
      </c>
    </row>
    <row r="32" spans="1:4" x14ac:dyDescent="0.3">
      <c r="A32">
        <v>1877.33</v>
      </c>
      <c r="B32">
        <v>28.92</v>
      </c>
      <c r="C32">
        <v>2047.11</v>
      </c>
      <c r="D32">
        <v>16.239999999999998</v>
      </c>
    </row>
    <row r="33" spans="1:4" x14ac:dyDescent="0.3">
      <c r="A33">
        <v>1824.55</v>
      </c>
      <c r="B33">
        <v>18.329999999999998</v>
      </c>
      <c r="C33">
        <v>489.9</v>
      </c>
      <c r="D33">
        <v>13.9</v>
      </c>
    </row>
    <row r="34" spans="1:4" x14ac:dyDescent="0.3">
      <c r="A34">
        <v>1787.05</v>
      </c>
      <c r="B34">
        <v>17.329999999999998</v>
      </c>
      <c r="C34">
        <v>632.32000000000005</v>
      </c>
      <c r="D34">
        <v>12.6</v>
      </c>
    </row>
    <row r="35" spans="1:4" x14ac:dyDescent="0.3">
      <c r="A35">
        <v>1836.06</v>
      </c>
      <c r="B35">
        <v>13.51</v>
      </c>
      <c r="C35">
        <v>733.2</v>
      </c>
      <c r="D35">
        <v>27.85</v>
      </c>
    </row>
    <row r="36" spans="1:4" x14ac:dyDescent="0.3">
      <c r="A36">
        <v>1922.05</v>
      </c>
      <c r="B36">
        <v>11.99</v>
      </c>
      <c r="C36">
        <v>498.74</v>
      </c>
      <c r="D36">
        <v>14.26</v>
      </c>
    </row>
    <row r="37" spans="1:4" x14ac:dyDescent="0.3">
      <c r="A37">
        <v>1919.04</v>
      </c>
      <c r="B37">
        <v>19.010000000000002</v>
      </c>
      <c r="C37">
        <v>2207.9</v>
      </c>
      <c r="D37">
        <v>12.6</v>
      </c>
    </row>
    <row r="38" spans="1:4" x14ac:dyDescent="0.3">
      <c r="A38">
        <v>1991.73</v>
      </c>
      <c r="B38">
        <v>45.07</v>
      </c>
      <c r="C38">
        <v>964.06</v>
      </c>
      <c r="D38">
        <v>15.96</v>
      </c>
    </row>
    <row r="39" spans="1:4" x14ac:dyDescent="0.3">
      <c r="A39">
        <v>1775.75</v>
      </c>
      <c r="B39">
        <v>21.77</v>
      </c>
      <c r="C39">
        <v>778.38</v>
      </c>
      <c r="D39">
        <v>18.600000000000001</v>
      </c>
    </row>
    <row r="40" spans="1:4" x14ac:dyDescent="0.3">
      <c r="A40">
        <v>2026.63</v>
      </c>
      <c r="B40">
        <v>23.71</v>
      </c>
      <c r="C40">
        <v>580.35</v>
      </c>
      <c r="D40">
        <v>11.31</v>
      </c>
    </row>
    <row r="41" spans="1:4" x14ac:dyDescent="0.3">
      <c r="A41">
        <v>1803.98</v>
      </c>
      <c r="B41">
        <v>24.55</v>
      </c>
      <c r="C41">
        <v>616.86</v>
      </c>
      <c r="D41">
        <v>12.56</v>
      </c>
    </row>
    <row r="42" spans="1:4" x14ac:dyDescent="0.3">
      <c r="A42">
        <v>1809.37</v>
      </c>
      <c r="B42">
        <v>21.22</v>
      </c>
      <c r="C42">
        <v>1959.83</v>
      </c>
      <c r="D42">
        <v>15.26</v>
      </c>
    </row>
    <row r="43" spans="1:4" x14ac:dyDescent="0.3">
      <c r="A43">
        <v>1815.57</v>
      </c>
      <c r="B43">
        <v>18.25</v>
      </c>
      <c r="C43">
        <v>590.72</v>
      </c>
      <c r="D43">
        <v>12.26</v>
      </c>
    </row>
    <row r="44" spans="1:4" x14ac:dyDescent="0.3">
      <c r="A44">
        <v>1862.87</v>
      </c>
      <c r="B44">
        <v>19.89</v>
      </c>
      <c r="C44">
        <v>534.6</v>
      </c>
      <c r="D44">
        <v>20.12</v>
      </c>
    </row>
    <row r="45" spans="1:4" x14ac:dyDescent="0.3">
      <c r="A45">
        <v>1825.43</v>
      </c>
      <c r="B45">
        <v>12.74</v>
      </c>
      <c r="C45">
        <v>611.87</v>
      </c>
      <c r="D45">
        <v>13.33</v>
      </c>
    </row>
    <row r="46" spans="1:4" x14ac:dyDescent="0.3">
      <c r="A46">
        <v>1974.35</v>
      </c>
      <c r="B46">
        <v>14.24</v>
      </c>
      <c r="C46">
        <v>510.73</v>
      </c>
      <c r="D46">
        <v>35.380000000000003</v>
      </c>
    </row>
    <row r="47" spans="1:4" x14ac:dyDescent="0.3">
      <c r="A47">
        <v>2284.27</v>
      </c>
      <c r="B47">
        <v>17.170000000000002</v>
      </c>
      <c r="C47">
        <v>2039.13</v>
      </c>
      <c r="D47">
        <v>12.71</v>
      </c>
    </row>
    <row r="48" spans="1:4" x14ac:dyDescent="0.3">
      <c r="A48">
        <v>1805.44</v>
      </c>
      <c r="B48">
        <v>15.33</v>
      </c>
      <c r="C48">
        <v>448.77</v>
      </c>
      <c r="D48">
        <v>12.12</v>
      </c>
    </row>
    <row r="49" spans="1:4" x14ac:dyDescent="0.3">
      <c r="A49">
        <v>1934.77</v>
      </c>
      <c r="B49">
        <v>16.75</v>
      </c>
      <c r="C49">
        <v>620.22</v>
      </c>
      <c r="D49">
        <v>13.08</v>
      </c>
    </row>
    <row r="50" spans="1:4" x14ac:dyDescent="0.3">
      <c r="A50">
        <v>1819.27</v>
      </c>
      <c r="B50">
        <v>27.95</v>
      </c>
      <c r="C50">
        <v>489.8</v>
      </c>
      <c r="D50">
        <v>11.57</v>
      </c>
    </row>
    <row r="51" spans="1:4" x14ac:dyDescent="0.3">
      <c r="A51">
        <v>1962.02</v>
      </c>
      <c r="B51">
        <v>17.63</v>
      </c>
      <c r="C51">
        <v>596.16</v>
      </c>
      <c r="D51">
        <v>14.89</v>
      </c>
    </row>
    <row r="52" spans="1:4" x14ac:dyDescent="0.3">
      <c r="A52">
        <v>2172.0500000000002</v>
      </c>
      <c r="B52">
        <v>16.91</v>
      </c>
      <c r="C52">
        <v>2219.52</v>
      </c>
      <c r="D52">
        <v>13.25</v>
      </c>
    </row>
    <row r="53" spans="1:4" x14ac:dyDescent="0.3">
      <c r="A53">
        <v>2006.33</v>
      </c>
      <c r="B53">
        <v>21.12</v>
      </c>
      <c r="C53">
        <v>619.79999999999995</v>
      </c>
      <c r="D53">
        <v>17.52</v>
      </c>
    </row>
    <row r="54" spans="1:4" x14ac:dyDescent="0.3">
      <c r="A54">
        <v>1993.77</v>
      </c>
      <c r="B54">
        <v>16.89</v>
      </c>
      <c r="C54">
        <v>551.87</v>
      </c>
      <c r="D54">
        <v>16.45</v>
      </c>
    </row>
    <row r="55" spans="1:4" x14ac:dyDescent="0.3">
      <c r="A55">
        <v>1965.85</v>
      </c>
      <c r="B55">
        <v>19.52</v>
      </c>
      <c r="C55">
        <v>543.34</v>
      </c>
      <c r="D55">
        <v>16.670000000000002</v>
      </c>
    </row>
    <row r="56" spans="1:4" x14ac:dyDescent="0.3">
      <c r="A56">
        <v>1944.36</v>
      </c>
      <c r="B56">
        <v>15.84</v>
      </c>
      <c r="C56">
        <v>557.38</v>
      </c>
      <c r="D56">
        <v>14.34</v>
      </c>
    </row>
    <row r="57" spans="1:4" x14ac:dyDescent="0.3">
      <c r="A57">
        <v>1927.21</v>
      </c>
      <c r="B57">
        <v>20.54</v>
      </c>
      <c r="C57">
        <v>2128.84</v>
      </c>
      <c r="D57">
        <v>12.08</v>
      </c>
    </row>
    <row r="58" spans="1:4" x14ac:dyDescent="0.3">
      <c r="A58">
        <v>1934.35</v>
      </c>
      <c r="B58">
        <v>30.09</v>
      </c>
      <c r="C58">
        <v>810.18</v>
      </c>
      <c r="D58">
        <v>17.579999999999998</v>
      </c>
    </row>
    <row r="59" spans="1:4" x14ac:dyDescent="0.3">
      <c r="A59">
        <v>2014.24</v>
      </c>
      <c r="B59">
        <v>19.239999999999998</v>
      </c>
      <c r="C59">
        <v>567.16999999999996</v>
      </c>
      <c r="D59">
        <v>14.85</v>
      </c>
    </row>
    <row r="60" spans="1:4" x14ac:dyDescent="0.3">
      <c r="A60">
        <v>1947.91</v>
      </c>
      <c r="B60">
        <v>24.52</v>
      </c>
      <c r="C60">
        <v>566.54999999999995</v>
      </c>
      <c r="D60">
        <v>13.24</v>
      </c>
    </row>
    <row r="61" spans="1:4" x14ac:dyDescent="0.3">
      <c r="A61">
        <v>1897.05</v>
      </c>
      <c r="B61">
        <v>13.7</v>
      </c>
      <c r="C61">
        <v>573.52</v>
      </c>
      <c r="D61">
        <v>18.09</v>
      </c>
    </row>
    <row r="62" spans="1:4" x14ac:dyDescent="0.3">
      <c r="A62">
        <v>1950.23</v>
      </c>
      <c r="B62">
        <v>19.87</v>
      </c>
      <c r="C62">
        <v>2107.84</v>
      </c>
      <c r="D62">
        <v>11.29</v>
      </c>
    </row>
    <row r="63" spans="1:4" x14ac:dyDescent="0.3">
      <c r="A63">
        <v>1963.61</v>
      </c>
      <c r="B63">
        <v>25.46</v>
      </c>
      <c r="C63">
        <v>597.27</v>
      </c>
      <c r="D63">
        <v>13.63</v>
      </c>
    </row>
    <row r="64" spans="1:4" x14ac:dyDescent="0.3">
      <c r="A64">
        <v>1963.36</v>
      </c>
      <c r="B64">
        <v>14.87</v>
      </c>
      <c r="C64">
        <v>696.27</v>
      </c>
      <c r="D64">
        <v>19.87</v>
      </c>
    </row>
    <row r="65" spans="1:4" x14ac:dyDescent="0.3">
      <c r="A65">
        <v>1967.51</v>
      </c>
      <c r="B65">
        <v>13.72</v>
      </c>
      <c r="C65">
        <v>649.96</v>
      </c>
      <c r="D65">
        <v>21.26</v>
      </c>
    </row>
    <row r="66" spans="1:4" x14ac:dyDescent="0.3">
      <c r="A66">
        <v>1889.31</v>
      </c>
      <c r="B66">
        <v>16.07</v>
      </c>
      <c r="C66">
        <v>580.17999999999995</v>
      </c>
      <c r="D66">
        <v>12.7</v>
      </c>
    </row>
    <row r="67" spans="1:4" x14ac:dyDescent="0.3">
      <c r="A67">
        <v>2094.7800000000002</v>
      </c>
      <c r="B67">
        <v>20.82</v>
      </c>
      <c r="C67">
        <v>2226.3200000000002</v>
      </c>
      <c r="D67">
        <v>16.170000000000002</v>
      </c>
    </row>
    <row r="68" spans="1:4" x14ac:dyDescent="0.3">
      <c r="A68">
        <v>1971.15</v>
      </c>
      <c r="B68">
        <v>13.81</v>
      </c>
      <c r="C68">
        <v>604.48</v>
      </c>
      <c r="D68">
        <v>16.97</v>
      </c>
    </row>
    <row r="69" spans="1:4" x14ac:dyDescent="0.3">
      <c r="A69">
        <v>2106.23</v>
      </c>
      <c r="B69">
        <v>30.7</v>
      </c>
      <c r="C69">
        <v>664.9</v>
      </c>
      <c r="D69">
        <v>20.07</v>
      </c>
    </row>
    <row r="70" spans="1:4" x14ac:dyDescent="0.3">
      <c r="A70">
        <v>2080.48</v>
      </c>
      <c r="B70">
        <v>13.02</v>
      </c>
      <c r="C70">
        <v>553.91999999999996</v>
      </c>
      <c r="D70">
        <v>13.65</v>
      </c>
    </row>
    <row r="71" spans="1:4" x14ac:dyDescent="0.3">
      <c r="A71">
        <v>2047.18</v>
      </c>
      <c r="B71">
        <v>18.260000000000002</v>
      </c>
      <c r="C71">
        <v>521.94000000000005</v>
      </c>
      <c r="D71">
        <v>12.76</v>
      </c>
    </row>
    <row r="72" spans="1:4" x14ac:dyDescent="0.3">
      <c r="A72">
        <v>2114</v>
      </c>
      <c r="B72">
        <v>17.37</v>
      </c>
      <c r="C72">
        <v>2132.33</v>
      </c>
      <c r="D72">
        <v>13.03</v>
      </c>
    </row>
    <row r="73" spans="1:4" x14ac:dyDescent="0.3">
      <c r="A73">
        <v>2027.67</v>
      </c>
      <c r="B73">
        <v>17.940000000000001</v>
      </c>
      <c r="C73">
        <v>534.35</v>
      </c>
      <c r="D73">
        <v>10.93</v>
      </c>
    </row>
    <row r="74" spans="1:4" x14ac:dyDescent="0.3">
      <c r="A74">
        <v>1980.41</v>
      </c>
      <c r="B74">
        <v>12.52</v>
      </c>
      <c r="C74">
        <v>664.61</v>
      </c>
      <c r="D74">
        <v>19.190000000000001</v>
      </c>
    </row>
    <row r="75" spans="1:4" x14ac:dyDescent="0.3">
      <c r="A75">
        <v>2015.77</v>
      </c>
      <c r="B75">
        <v>23.9</v>
      </c>
      <c r="C75">
        <v>703.79</v>
      </c>
      <c r="D75">
        <v>18.95</v>
      </c>
    </row>
    <row r="76" spans="1:4" x14ac:dyDescent="0.3">
      <c r="A76">
        <v>2005.18</v>
      </c>
      <c r="B76">
        <v>19.55</v>
      </c>
      <c r="C76">
        <v>774.72</v>
      </c>
      <c r="D76">
        <v>31.46</v>
      </c>
    </row>
    <row r="77" spans="1:4" x14ac:dyDescent="0.3">
      <c r="A77">
        <v>2065.86</v>
      </c>
      <c r="B77">
        <v>21.54</v>
      </c>
      <c r="C77">
        <v>2842.56</v>
      </c>
      <c r="D77">
        <v>20.02</v>
      </c>
    </row>
    <row r="78" spans="1:4" x14ac:dyDescent="0.3">
      <c r="A78">
        <v>1987.31</v>
      </c>
      <c r="B78">
        <v>18</v>
      </c>
      <c r="C78">
        <v>627.41</v>
      </c>
      <c r="D78">
        <v>18.68</v>
      </c>
    </row>
    <row r="79" spans="1:4" x14ac:dyDescent="0.3">
      <c r="A79">
        <v>1998.02</v>
      </c>
      <c r="B79">
        <v>19.809999999999999</v>
      </c>
      <c r="C79">
        <v>588.61</v>
      </c>
      <c r="D79">
        <v>37.130000000000003</v>
      </c>
    </row>
    <row r="80" spans="1:4" x14ac:dyDescent="0.3">
      <c r="A80">
        <v>1929.9</v>
      </c>
      <c r="B80">
        <v>14.96</v>
      </c>
      <c r="C80">
        <v>519.39</v>
      </c>
      <c r="D80">
        <v>13.46</v>
      </c>
    </row>
    <row r="81" spans="1:4" x14ac:dyDescent="0.3">
      <c r="A81">
        <v>1925.76</v>
      </c>
      <c r="B81">
        <v>13.91</v>
      </c>
      <c r="C81">
        <v>807.37</v>
      </c>
      <c r="D81">
        <v>18.45</v>
      </c>
    </row>
    <row r="82" spans="1:4" x14ac:dyDescent="0.3">
      <c r="A82">
        <v>2112.67</v>
      </c>
      <c r="B82">
        <v>14.94</v>
      </c>
      <c r="C82">
        <v>2275.25</v>
      </c>
      <c r="D82">
        <v>14.74</v>
      </c>
    </row>
    <row r="83" spans="1:4" x14ac:dyDescent="0.3">
      <c r="A83">
        <v>2125.4499999999998</v>
      </c>
      <c r="B83">
        <v>26.38</v>
      </c>
      <c r="C83">
        <v>704.39</v>
      </c>
      <c r="D83">
        <v>19.16</v>
      </c>
    </row>
    <row r="84" spans="1:4" x14ac:dyDescent="0.3">
      <c r="A84">
        <v>1878.97</v>
      </c>
      <c r="B84">
        <v>16.8</v>
      </c>
      <c r="C84">
        <v>550.88</v>
      </c>
      <c r="D84">
        <v>19.38</v>
      </c>
    </row>
    <row r="85" spans="1:4" x14ac:dyDescent="0.3">
      <c r="A85">
        <v>1950.27</v>
      </c>
      <c r="B85">
        <v>15.64</v>
      </c>
      <c r="C85">
        <v>708.4</v>
      </c>
      <c r="D85">
        <v>18.71</v>
      </c>
    </row>
    <row r="86" spans="1:4" x14ac:dyDescent="0.3">
      <c r="A86">
        <v>1883.24</v>
      </c>
      <c r="B86">
        <v>16.23</v>
      </c>
      <c r="C86">
        <v>546.74</v>
      </c>
      <c r="D86">
        <v>12.43</v>
      </c>
    </row>
    <row r="87" spans="1:4" x14ac:dyDescent="0.3">
      <c r="A87">
        <v>2197.7199999999998</v>
      </c>
      <c r="B87">
        <v>23.36</v>
      </c>
      <c r="C87">
        <v>2169.67</v>
      </c>
      <c r="D87">
        <v>16.77</v>
      </c>
    </row>
    <row r="88" spans="1:4" x14ac:dyDescent="0.3">
      <c r="A88">
        <v>1956.36</v>
      </c>
      <c r="B88">
        <v>32.43</v>
      </c>
      <c r="C88">
        <v>679.62</v>
      </c>
      <c r="D88">
        <v>12.5</v>
      </c>
    </row>
    <row r="89" spans="1:4" x14ac:dyDescent="0.3">
      <c r="A89">
        <v>1983.98</v>
      </c>
      <c r="B89">
        <v>28.97</v>
      </c>
      <c r="C89">
        <v>614.54999999999995</v>
      </c>
      <c r="D89">
        <v>13.17</v>
      </c>
    </row>
    <row r="90" spans="1:4" x14ac:dyDescent="0.3">
      <c r="A90">
        <v>1990.55</v>
      </c>
      <c r="B90">
        <v>21.05</v>
      </c>
      <c r="C90">
        <v>1173.68</v>
      </c>
      <c r="D90">
        <v>46.4</v>
      </c>
    </row>
    <row r="91" spans="1:4" x14ac:dyDescent="0.3">
      <c r="A91">
        <v>2902.77</v>
      </c>
      <c r="B91">
        <v>45.64</v>
      </c>
      <c r="C91">
        <v>938.16</v>
      </c>
      <c r="D91">
        <v>19.54</v>
      </c>
    </row>
    <row r="92" spans="1:4" x14ac:dyDescent="0.3">
      <c r="A92">
        <v>2097.63</v>
      </c>
      <c r="B92">
        <v>20.07</v>
      </c>
      <c r="C92">
        <v>2300.9</v>
      </c>
      <c r="D92">
        <v>21.22</v>
      </c>
    </row>
    <row r="93" spans="1:4" x14ac:dyDescent="0.3">
      <c r="A93">
        <v>1953.48</v>
      </c>
      <c r="B93">
        <v>14.91</v>
      </c>
      <c r="C93">
        <v>611.6</v>
      </c>
      <c r="D93">
        <v>17.84</v>
      </c>
    </row>
    <row r="94" spans="1:4" x14ac:dyDescent="0.3">
      <c r="A94">
        <v>3159.8</v>
      </c>
      <c r="B94">
        <v>25.96</v>
      </c>
      <c r="C94">
        <v>1333.32</v>
      </c>
      <c r="D94">
        <v>24.63</v>
      </c>
    </row>
    <row r="95" spans="1:4" x14ac:dyDescent="0.3">
      <c r="A95">
        <v>2037.08</v>
      </c>
      <c r="B95">
        <v>21.54</v>
      </c>
      <c r="C95">
        <v>1134.79</v>
      </c>
      <c r="D95">
        <v>20.05</v>
      </c>
    </row>
    <row r="96" spans="1:4" x14ac:dyDescent="0.3">
      <c r="A96">
        <v>1919.3</v>
      </c>
      <c r="B96">
        <v>15.81</v>
      </c>
      <c r="C96">
        <v>614.03</v>
      </c>
      <c r="D96">
        <v>13.45</v>
      </c>
    </row>
    <row r="97" spans="1:4" x14ac:dyDescent="0.3">
      <c r="A97">
        <v>2199.52</v>
      </c>
      <c r="B97">
        <v>16.72</v>
      </c>
      <c r="C97">
        <v>2430.31</v>
      </c>
      <c r="D97">
        <v>38.58</v>
      </c>
    </row>
    <row r="98" spans="1:4" x14ac:dyDescent="0.3">
      <c r="A98">
        <v>3058.74</v>
      </c>
      <c r="B98">
        <v>87.27</v>
      </c>
      <c r="C98">
        <v>1944.58</v>
      </c>
      <c r="D98">
        <v>50.85</v>
      </c>
    </row>
    <row r="99" spans="1:4" x14ac:dyDescent="0.3">
      <c r="A99">
        <v>2200.3200000000002</v>
      </c>
      <c r="B99">
        <v>28.02</v>
      </c>
      <c r="C99">
        <v>961.27</v>
      </c>
      <c r="D99">
        <v>27.3</v>
      </c>
    </row>
    <row r="100" spans="1:4" x14ac:dyDescent="0.3">
      <c r="A100">
        <v>2175.33</v>
      </c>
      <c r="B100">
        <v>31.15</v>
      </c>
      <c r="C100">
        <v>1057.17</v>
      </c>
      <c r="D100">
        <v>42.8</v>
      </c>
    </row>
    <row r="101" spans="1:4" x14ac:dyDescent="0.3">
      <c r="A101">
        <v>4521.54</v>
      </c>
      <c r="B101">
        <v>39.5</v>
      </c>
      <c r="C101">
        <v>2241.2800000000002</v>
      </c>
      <c r="D101">
        <v>38.130000000000003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86AC-1E49-4640-BE4B-963CCFFDB8AB}">
  <dimension ref="A1:M101"/>
  <sheetViews>
    <sheetView workbookViewId="0">
      <selection activeCell="G16" sqref="G16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7112.78</v>
      </c>
      <c r="B2">
        <v>49.12</v>
      </c>
      <c r="C2">
        <v>5359.97</v>
      </c>
      <c r="D2">
        <v>54.81</v>
      </c>
      <c r="H2" t="s">
        <v>21</v>
      </c>
      <c r="I2" s="4">
        <f>AVERAGE(A$2:A$101)</f>
        <v>5560.5175000000008</v>
      </c>
      <c r="J2" s="4">
        <f>AVERAGE(B$2:B$101)</f>
        <v>41.408999999999999</v>
      </c>
      <c r="K2" s="4">
        <f>AVERAGE(C$2:C$101)</f>
        <v>3776.7498999999993</v>
      </c>
      <c r="L2" s="4">
        <f t="shared" ref="L2" si="0">AVERAGE(D$2:D$101)</f>
        <v>80.22920000000002</v>
      </c>
      <c r="M2" s="4"/>
    </row>
    <row r="3" spans="1:13" x14ac:dyDescent="0.3">
      <c r="A3">
        <v>4203.2299999999996</v>
      </c>
      <c r="B3">
        <v>41.05</v>
      </c>
      <c r="C3">
        <v>3196.59</v>
      </c>
      <c r="D3">
        <v>91.53</v>
      </c>
      <c r="H3" t="s">
        <v>17</v>
      </c>
      <c r="I3" s="4">
        <f>MEDIAN(A$2:A$101)</f>
        <v>5077.7550000000001</v>
      </c>
      <c r="J3" s="4">
        <f t="shared" ref="J3:L3" si="1">MEDIAN(B$2:B$101)</f>
        <v>41.454999999999998</v>
      </c>
      <c r="K3" s="4">
        <f t="shared" si="1"/>
        <v>3498.74</v>
      </c>
      <c r="L3" s="4">
        <f t="shared" si="1"/>
        <v>52.524999999999999</v>
      </c>
      <c r="M3" s="4"/>
    </row>
    <row r="4" spans="1:13" x14ac:dyDescent="0.3">
      <c r="A4">
        <v>5261.48</v>
      </c>
      <c r="B4">
        <v>49.09</v>
      </c>
      <c r="C4">
        <v>5212.13</v>
      </c>
      <c r="D4">
        <v>48.24</v>
      </c>
      <c r="H4" t="s">
        <v>18</v>
      </c>
      <c r="I4" s="4">
        <f>_xlfn.STDEV.S(A$2:A$101)</f>
        <v>3006.8091444886472</v>
      </c>
      <c r="J4" s="4">
        <f t="shared" ref="J4:L4" si="2">_xlfn.STDEV.S(B$2:B$101)</f>
        <v>12.883595512640669</v>
      </c>
      <c r="K4" s="4">
        <f t="shared" si="2"/>
        <v>1367.0192831951063</v>
      </c>
      <c r="L4" s="4">
        <f t="shared" si="2"/>
        <v>127.62641423888215</v>
      </c>
      <c r="M4" s="4"/>
    </row>
    <row r="5" spans="1:13" x14ac:dyDescent="0.3">
      <c r="A5">
        <v>4187.45</v>
      </c>
      <c r="B5">
        <v>39.090000000000003</v>
      </c>
      <c r="C5">
        <v>3475.52</v>
      </c>
      <c r="D5">
        <v>30.49</v>
      </c>
    </row>
    <row r="6" spans="1:13" x14ac:dyDescent="0.3">
      <c r="A6">
        <v>6268.17</v>
      </c>
      <c r="B6">
        <v>47.52</v>
      </c>
      <c r="C6">
        <v>4640.99</v>
      </c>
      <c r="D6">
        <v>54.17</v>
      </c>
    </row>
    <row r="7" spans="1:13" x14ac:dyDescent="0.3">
      <c r="A7">
        <v>5275.15</v>
      </c>
      <c r="B7">
        <v>27.34</v>
      </c>
      <c r="C7">
        <v>3110.72</v>
      </c>
      <c r="D7">
        <v>58.43</v>
      </c>
    </row>
    <row r="8" spans="1:13" x14ac:dyDescent="0.3">
      <c r="A8">
        <v>5565.35</v>
      </c>
      <c r="B8">
        <v>40.82</v>
      </c>
      <c r="C8">
        <v>4840.6099999999997</v>
      </c>
      <c r="D8">
        <v>76.03</v>
      </c>
    </row>
    <row r="9" spans="1:13" x14ac:dyDescent="0.3">
      <c r="A9">
        <v>5084.7</v>
      </c>
      <c r="B9">
        <v>40.56</v>
      </c>
      <c r="C9">
        <v>3327.55</v>
      </c>
      <c r="D9">
        <v>48.94</v>
      </c>
    </row>
    <row r="10" spans="1:13" x14ac:dyDescent="0.3">
      <c r="A10">
        <v>5134.1099999999997</v>
      </c>
      <c r="B10">
        <v>35.33</v>
      </c>
      <c r="C10">
        <v>3485.29</v>
      </c>
      <c r="D10">
        <v>78.42</v>
      </c>
    </row>
    <row r="11" spans="1:13" x14ac:dyDescent="0.3">
      <c r="A11">
        <v>3380.72</v>
      </c>
      <c r="B11">
        <v>31.32</v>
      </c>
      <c r="C11">
        <v>2792.54</v>
      </c>
      <c r="D11">
        <v>54.94</v>
      </c>
    </row>
    <row r="12" spans="1:13" x14ac:dyDescent="0.3">
      <c r="A12">
        <v>5646.17</v>
      </c>
      <c r="B12">
        <v>39.71</v>
      </c>
      <c r="C12">
        <v>5011.5</v>
      </c>
      <c r="D12">
        <v>45.43</v>
      </c>
    </row>
    <row r="13" spans="1:13" x14ac:dyDescent="0.3">
      <c r="A13">
        <v>4182.8500000000004</v>
      </c>
      <c r="B13">
        <v>54.8</v>
      </c>
      <c r="C13">
        <v>3344.33</v>
      </c>
      <c r="D13">
        <v>47.4</v>
      </c>
    </row>
    <row r="14" spans="1:13" x14ac:dyDescent="0.3">
      <c r="A14">
        <v>5787.45</v>
      </c>
      <c r="B14">
        <v>50.77</v>
      </c>
      <c r="C14">
        <v>3915.82</v>
      </c>
      <c r="D14">
        <v>40.909999999999997</v>
      </c>
    </row>
    <row r="15" spans="1:13" x14ac:dyDescent="0.3">
      <c r="A15">
        <v>3620.2</v>
      </c>
      <c r="B15">
        <v>22.89</v>
      </c>
      <c r="C15">
        <v>2532.8200000000002</v>
      </c>
      <c r="D15">
        <v>108.42</v>
      </c>
    </row>
    <row r="16" spans="1:13" x14ac:dyDescent="0.3">
      <c r="A16">
        <v>3973.79</v>
      </c>
      <c r="B16">
        <v>23.95</v>
      </c>
      <c r="C16">
        <v>4135.46</v>
      </c>
      <c r="D16">
        <v>53.04</v>
      </c>
    </row>
    <row r="17" spans="1:4" x14ac:dyDescent="0.3">
      <c r="A17">
        <v>3108.44</v>
      </c>
      <c r="B17">
        <v>24.99</v>
      </c>
      <c r="C17">
        <v>2092.27</v>
      </c>
      <c r="D17">
        <v>28.65</v>
      </c>
    </row>
    <row r="18" spans="1:4" x14ac:dyDescent="0.3">
      <c r="A18">
        <v>7586.23</v>
      </c>
      <c r="B18">
        <v>50.38</v>
      </c>
      <c r="C18">
        <v>2980.46</v>
      </c>
      <c r="D18">
        <v>48.59</v>
      </c>
    </row>
    <row r="19" spans="1:4" x14ac:dyDescent="0.3">
      <c r="A19">
        <v>2797.66</v>
      </c>
      <c r="B19">
        <v>49.04</v>
      </c>
      <c r="C19">
        <v>2285.0500000000002</v>
      </c>
      <c r="D19">
        <v>28.38</v>
      </c>
    </row>
    <row r="20" spans="1:4" x14ac:dyDescent="0.3">
      <c r="A20">
        <v>4115.7299999999996</v>
      </c>
      <c r="B20">
        <v>23.27</v>
      </c>
      <c r="C20">
        <v>3508.43</v>
      </c>
      <c r="D20">
        <v>47.47</v>
      </c>
    </row>
    <row r="21" spans="1:4" x14ac:dyDescent="0.3">
      <c r="A21">
        <v>2803.75</v>
      </c>
      <c r="B21">
        <v>43.36</v>
      </c>
      <c r="C21">
        <v>2281.96</v>
      </c>
      <c r="D21">
        <v>118.62</v>
      </c>
    </row>
    <row r="22" spans="1:4" x14ac:dyDescent="0.3">
      <c r="A22">
        <v>4841.38</v>
      </c>
      <c r="B22">
        <v>25.96</v>
      </c>
      <c r="C22">
        <v>3979.32</v>
      </c>
      <c r="D22">
        <v>23.54</v>
      </c>
    </row>
    <row r="23" spans="1:4" x14ac:dyDescent="0.3">
      <c r="A23">
        <v>2503.0500000000002</v>
      </c>
      <c r="B23">
        <v>22.85</v>
      </c>
      <c r="C23">
        <v>2889.99</v>
      </c>
      <c r="D23">
        <v>33.46</v>
      </c>
    </row>
    <row r="24" spans="1:4" x14ac:dyDescent="0.3">
      <c r="A24">
        <v>4239.3599999999997</v>
      </c>
      <c r="B24">
        <v>25.61</v>
      </c>
      <c r="C24">
        <v>3059.99</v>
      </c>
      <c r="D24">
        <v>175.49</v>
      </c>
    </row>
    <row r="25" spans="1:4" x14ac:dyDescent="0.3">
      <c r="A25">
        <v>4008.84</v>
      </c>
      <c r="B25">
        <v>53.42</v>
      </c>
      <c r="C25">
        <v>1849.91</v>
      </c>
      <c r="D25">
        <v>25.12</v>
      </c>
    </row>
    <row r="26" spans="1:4" x14ac:dyDescent="0.3">
      <c r="A26">
        <v>6280.19</v>
      </c>
      <c r="B26">
        <v>30.77</v>
      </c>
      <c r="C26">
        <v>4271.72</v>
      </c>
      <c r="D26">
        <v>52.92</v>
      </c>
    </row>
    <row r="27" spans="1:4" x14ac:dyDescent="0.3">
      <c r="A27">
        <v>3077.28</v>
      </c>
      <c r="B27">
        <v>56.35</v>
      </c>
      <c r="C27">
        <v>2847.72</v>
      </c>
      <c r="D27">
        <v>28.23</v>
      </c>
    </row>
    <row r="28" spans="1:4" x14ac:dyDescent="0.3">
      <c r="A28">
        <v>5679.97</v>
      </c>
      <c r="B28">
        <v>32.93</v>
      </c>
      <c r="C28">
        <v>3673.56</v>
      </c>
      <c r="D28">
        <v>31.06</v>
      </c>
    </row>
    <row r="29" spans="1:4" x14ac:dyDescent="0.3">
      <c r="A29">
        <v>3964.01</v>
      </c>
      <c r="B29">
        <v>49.59</v>
      </c>
      <c r="C29">
        <v>1859.41</v>
      </c>
      <c r="D29">
        <v>28.62</v>
      </c>
    </row>
    <row r="30" spans="1:4" x14ac:dyDescent="0.3">
      <c r="A30">
        <v>6158.85</v>
      </c>
      <c r="B30">
        <v>33.39</v>
      </c>
      <c r="C30">
        <v>4513.0200000000004</v>
      </c>
      <c r="D30">
        <v>45.88</v>
      </c>
    </row>
    <row r="31" spans="1:4" x14ac:dyDescent="0.3">
      <c r="A31">
        <v>4207.0200000000004</v>
      </c>
      <c r="B31">
        <v>45.63</v>
      </c>
      <c r="C31">
        <v>3685.07</v>
      </c>
      <c r="D31">
        <v>56.05</v>
      </c>
    </row>
    <row r="32" spans="1:4" x14ac:dyDescent="0.3">
      <c r="A32">
        <v>6037.79</v>
      </c>
      <c r="B32">
        <v>21.72</v>
      </c>
      <c r="C32">
        <v>2792.13</v>
      </c>
      <c r="D32">
        <v>23.59</v>
      </c>
    </row>
    <row r="33" spans="1:4" x14ac:dyDescent="0.3">
      <c r="A33">
        <v>2918.18</v>
      </c>
      <c r="B33">
        <v>40.020000000000003</v>
      </c>
      <c r="C33">
        <v>2004.04</v>
      </c>
      <c r="D33">
        <v>31.84</v>
      </c>
    </row>
    <row r="34" spans="1:4" x14ac:dyDescent="0.3">
      <c r="A34">
        <v>7099.04</v>
      </c>
      <c r="B34">
        <v>24.97</v>
      </c>
      <c r="C34">
        <v>3010.9</v>
      </c>
      <c r="D34">
        <v>27.4</v>
      </c>
    </row>
    <row r="35" spans="1:4" x14ac:dyDescent="0.3">
      <c r="A35">
        <v>3530.17</v>
      </c>
      <c r="B35">
        <v>32.630000000000003</v>
      </c>
      <c r="C35">
        <v>1819.81</v>
      </c>
      <c r="D35">
        <v>30.69</v>
      </c>
    </row>
    <row r="36" spans="1:4" x14ac:dyDescent="0.3">
      <c r="A36">
        <v>6275.93</v>
      </c>
      <c r="B36">
        <v>22.51</v>
      </c>
      <c r="C36">
        <v>3120.4</v>
      </c>
      <c r="D36">
        <v>28.02</v>
      </c>
    </row>
    <row r="37" spans="1:4" x14ac:dyDescent="0.3">
      <c r="A37">
        <v>3113.67</v>
      </c>
      <c r="B37">
        <v>25.37</v>
      </c>
      <c r="C37">
        <v>2444.94</v>
      </c>
      <c r="D37">
        <v>50.97</v>
      </c>
    </row>
    <row r="38" spans="1:4" x14ac:dyDescent="0.3">
      <c r="A38">
        <v>5739.49</v>
      </c>
      <c r="B38">
        <v>25.9</v>
      </c>
      <c r="C38">
        <v>3740.46</v>
      </c>
      <c r="D38">
        <v>27.91</v>
      </c>
    </row>
    <row r="39" spans="1:4" x14ac:dyDescent="0.3">
      <c r="A39">
        <v>3855.07</v>
      </c>
      <c r="B39">
        <v>51.22</v>
      </c>
      <c r="C39">
        <v>2738.79</v>
      </c>
      <c r="D39">
        <v>61.03</v>
      </c>
    </row>
    <row r="40" spans="1:4" x14ac:dyDescent="0.3">
      <c r="A40">
        <v>4607.2299999999996</v>
      </c>
      <c r="B40">
        <v>30.75</v>
      </c>
      <c r="C40">
        <v>3833.75</v>
      </c>
      <c r="D40">
        <v>40.78</v>
      </c>
    </row>
    <row r="41" spans="1:4" x14ac:dyDescent="0.3">
      <c r="A41">
        <v>3460.77</v>
      </c>
      <c r="B41">
        <v>37.44</v>
      </c>
      <c r="C41">
        <v>2420.1799999999998</v>
      </c>
      <c r="D41">
        <v>53.03</v>
      </c>
    </row>
    <row r="42" spans="1:4" x14ac:dyDescent="0.3">
      <c r="A42">
        <v>4958.5600000000004</v>
      </c>
      <c r="B42">
        <v>46.02</v>
      </c>
      <c r="C42">
        <v>3825.85</v>
      </c>
      <c r="D42">
        <v>28.1</v>
      </c>
    </row>
    <row r="43" spans="1:4" x14ac:dyDescent="0.3">
      <c r="A43">
        <v>2763.26</v>
      </c>
      <c r="B43">
        <v>61.37</v>
      </c>
      <c r="C43">
        <v>2646.64</v>
      </c>
      <c r="D43">
        <v>52.44</v>
      </c>
    </row>
    <row r="44" spans="1:4" x14ac:dyDescent="0.3">
      <c r="A44">
        <v>4327.09</v>
      </c>
      <c r="B44">
        <v>22.99</v>
      </c>
      <c r="C44">
        <v>3243.97</v>
      </c>
      <c r="D44">
        <v>31.4</v>
      </c>
    </row>
    <row r="45" spans="1:4" x14ac:dyDescent="0.3">
      <c r="A45">
        <v>3724.11</v>
      </c>
      <c r="B45">
        <v>41.86</v>
      </c>
      <c r="C45">
        <v>2597.4299999999998</v>
      </c>
      <c r="D45">
        <v>97.63</v>
      </c>
    </row>
    <row r="46" spans="1:4" x14ac:dyDescent="0.3">
      <c r="A46">
        <v>10809.03</v>
      </c>
      <c r="B46">
        <v>52.72</v>
      </c>
      <c r="C46">
        <v>4960.18</v>
      </c>
      <c r="D46">
        <v>69.11</v>
      </c>
    </row>
    <row r="47" spans="1:4" x14ac:dyDescent="0.3">
      <c r="A47">
        <v>3946.18</v>
      </c>
      <c r="B47">
        <v>44.04</v>
      </c>
      <c r="C47">
        <v>3047.44</v>
      </c>
      <c r="D47">
        <v>42.04</v>
      </c>
    </row>
    <row r="48" spans="1:4" x14ac:dyDescent="0.3">
      <c r="A48">
        <v>6453.12</v>
      </c>
      <c r="B48">
        <v>39.700000000000003</v>
      </c>
      <c r="C48">
        <v>4796.4399999999996</v>
      </c>
      <c r="D48">
        <v>68.260000000000005</v>
      </c>
    </row>
    <row r="49" spans="1:4" x14ac:dyDescent="0.3">
      <c r="A49">
        <v>3236.79</v>
      </c>
      <c r="B49">
        <v>24.28</v>
      </c>
      <c r="C49">
        <v>2590.54</v>
      </c>
      <c r="D49">
        <v>50.44</v>
      </c>
    </row>
    <row r="50" spans="1:4" x14ac:dyDescent="0.3">
      <c r="A50">
        <v>5549</v>
      </c>
      <c r="B50">
        <v>56.58</v>
      </c>
      <c r="C50">
        <v>3567.89</v>
      </c>
      <c r="D50">
        <v>23.61</v>
      </c>
    </row>
    <row r="51" spans="1:4" x14ac:dyDescent="0.3">
      <c r="A51">
        <v>2988.62</v>
      </c>
      <c r="B51">
        <v>41.78</v>
      </c>
      <c r="C51">
        <v>2710.61</v>
      </c>
      <c r="D51">
        <v>28.18</v>
      </c>
    </row>
    <row r="52" spans="1:4" x14ac:dyDescent="0.3">
      <c r="A52">
        <v>4911.09</v>
      </c>
      <c r="B52">
        <v>32.19</v>
      </c>
      <c r="C52">
        <v>4185.53</v>
      </c>
      <c r="D52">
        <v>29.82</v>
      </c>
    </row>
    <row r="53" spans="1:4" x14ac:dyDescent="0.3">
      <c r="A53">
        <v>3154.81</v>
      </c>
      <c r="B53">
        <v>24.75</v>
      </c>
      <c r="C53">
        <v>2735.48</v>
      </c>
      <c r="D53">
        <v>56.03</v>
      </c>
    </row>
    <row r="54" spans="1:4" x14ac:dyDescent="0.3">
      <c r="A54">
        <v>7268.95</v>
      </c>
      <c r="B54">
        <v>22.31</v>
      </c>
      <c r="C54">
        <v>3275.71</v>
      </c>
      <c r="D54">
        <v>29.24</v>
      </c>
    </row>
    <row r="55" spans="1:4" x14ac:dyDescent="0.3">
      <c r="A55">
        <v>2474.0100000000002</v>
      </c>
      <c r="B55">
        <v>31.01</v>
      </c>
      <c r="C55">
        <v>2321.8000000000002</v>
      </c>
      <c r="D55">
        <v>29.38</v>
      </c>
    </row>
    <row r="56" spans="1:4" x14ac:dyDescent="0.3">
      <c r="A56">
        <v>7115.17</v>
      </c>
      <c r="B56">
        <v>42</v>
      </c>
      <c r="C56">
        <v>4637.49</v>
      </c>
      <c r="D56">
        <v>52.2</v>
      </c>
    </row>
    <row r="57" spans="1:4" x14ac:dyDescent="0.3">
      <c r="A57">
        <v>3555.27</v>
      </c>
      <c r="B57">
        <v>34.03</v>
      </c>
      <c r="C57">
        <v>1840.41</v>
      </c>
      <c r="D57">
        <v>26.25</v>
      </c>
    </row>
    <row r="58" spans="1:4" x14ac:dyDescent="0.3">
      <c r="A58">
        <v>4753.26</v>
      </c>
      <c r="B58">
        <v>23.13</v>
      </c>
      <c r="C58">
        <v>4243.24</v>
      </c>
      <c r="D58">
        <v>64.94</v>
      </c>
    </row>
    <row r="59" spans="1:4" x14ac:dyDescent="0.3">
      <c r="A59">
        <v>4399.05</v>
      </c>
      <c r="B59">
        <v>59.65</v>
      </c>
      <c r="C59">
        <v>2995.22</v>
      </c>
      <c r="D59">
        <v>64.69</v>
      </c>
    </row>
    <row r="60" spans="1:4" x14ac:dyDescent="0.3">
      <c r="A60">
        <v>4772.84</v>
      </c>
      <c r="B60">
        <v>47.8</v>
      </c>
      <c r="C60">
        <v>4819.8999999999996</v>
      </c>
      <c r="D60">
        <v>63.17</v>
      </c>
    </row>
    <row r="61" spans="1:4" x14ac:dyDescent="0.3">
      <c r="A61">
        <v>4274.49</v>
      </c>
      <c r="B61">
        <v>41.13</v>
      </c>
      <c r="C61">
        <v>3091.21</v>
      </c>
      <c r="D61">
        <v>106.63</v>
      </c>
    </row>
    <row r="62" spans="1:4" x14ac:dyDescent="0.3">
      <c r="A62">
        <v>5514.93</v>
      </c>
      <c r="B62">
        <v>30.5</v>
      </c>
      <c r="C62">
        <v>6086.09</v>
      </c>
      <c r="D62">
        <v>263.37</v>
      </c>
    </row>
    <row r="63" spans="1:4" x14ac:dyDescent="0.3">
      <c r="A63">
        <v>6605.52</v>
      </c>
      <c r="B63">
        <v>51.85</v>
      </c>
      <c r="C63">
        <v>3786.24</v>
      </c>
      <c r="D63">
        <v>67.63</v>
      </c>
    </row>
    <row r="64" spans="1:4" x14ac:dyDescent="0.3">
      <c r="A64">
        <v>5485.08</v>
      </c>
      <c r="B64">
        <v>58.83</v>
      </c>
      <c r="C64">
        <v>4537.97</v>
      </c>
      <c r="D64">
        <v>24.5</v>
      </c>
    </row>
    <row r="65" spans="1:4" x14ac:dyDescent="0.3">
      <c r="A65">
        <v>3296.98</v>
      </c>
      <c r="B65">
        <v>42.64</v>
      </c>
      <c r="C65">
        <v>2929.13</v>
      </c>
      <c r="D65">
        <v>40.6</v>
      </c>
    </row>
    <row r="66" spans="1:4" x14ac:dyDescent="0.3">
      <c r="A66">
        <v>7116.03</v>
      </c>
      <c r="B66">
        <v>39.6</v>
      </c>
      <c r="C66">
        <v>4614.09</v>
      </c>
      <c r="D66">
        <v>46.49</v>
      </c>
    </row>
    <row r="67" spans="1:4" x14ac:dyDescent="0.3">
      <c r="A67">
        <v>3643.76</v>
      </c>
      <c r="B67">
        <v>26.91</v>
      </c>
      <c r="C67">
        <v>2671.91</v>
      </c>
      <c r="D67">
        <v>58.88</v>
      </c>
    </row>
    <row r="68" spans="1:4" x14ac:dyDescent="0.3">
      <c r="A68">
        <v>7345.81</v>
      </c>
      <c r="B68">
        <v>53.97</v>
      </c>
      <c r="C68">
        <v>4895.7700000000004</v>
      </c>
      <c r="D68">
        <v>52.61</v>
      </c>
    </row>
    <row r="69" spans="1:4" x14ac:dyDescent="0.3">
      <c r="A69">
        <v>4526.84</v>
      </c>
      <c r="B69">
        <v>24.33</v>
      </c>
      <c r="C69">
        <v>2436.52</v>
      </c>
      <c r="D69">
        <v>78.540000000000006</v>
      </c>
    </row>
    <row r="70" spans="1:4" x14ac:dyDescent="0.3">
      <c r="A70">
        <v>5548.41</v>
      </c>
      <c r="B70">
        <v>46.72</v>
      </c>
      <c r="C70">
        <v>4716.88</v>
      </c>
      <c r="D70">
        <v>129.78</v>
      </c>
    </row>
    <row r="71" spans="1:4" x14ac:dyDescent="0.3">
      <c r="A71">
        <v>4267.24</v>
      </c>
      <c r="B71">
        <v>54.15</v>
      </c>
      <c r="C71">
        <v>2494.34</v>
      </c>
      <c r="D71">
        <v>54.85</v>
      </c>
    </row>
    <row r="72" spans="1:4" x14ac:dyDescent="0.3">
      <c r="A72">
        <v>6961.06</v>
      </c>
      <c r="B72">
        <v>49.03</v>
      </c>
      <c r="C72">
        <v>5317.9</v>
      </c>
      <c r="D72">
        <v>47.71</v>
      </c>
    </row>
    <row r="73" spans="1:4" x14ac:dyDescent="0.3">
      <c r="A73">
        <v>4278.99</v>
      </c>
      <c r="B73">
        <v>51.15</v>
      </c>
      <c r="C73">
        <v>2959.07</v>
      </c>
      <c r="D73">
        <v>45.35</v>
      </c>
    </row>
    <row r="74" spans="1:4" x14ac:dyDescent="0.3">
      <c r="A74">
        <v>5964.69</v>
      </c>
      <c r="B74">
        <v>39.86</v>
      </c>
      <c r="C74">
        <v>5197.8900000000003</v>
      </c>
      <c r="D74">
        <v>77.19</v>
      </c>
    </row>
    <row r="75" spans="1:4" x14ac:dyDescent="0.3">
      <c r="A75">
        <v>5729.61</v>
      </c>
      <c r="B75">
        <v>54.31</v>
      </c>
      <c r="C75">
        <v>3171.53</v>
      </c>
      <c r="D75">
        <v>49.64</v>
      </c>
    </row>
    <row r="76" spans="1:4" x14ac:dyDescent="0.3">
      <c r="A76">
        <v>7350.95</v>
      </c>
      <c r="B76">
        <v>29.91</v>
      </c>
      <c r="C76">
        <v>5066.1899999999996</v>
      </c>
      <c r="D76">
        <v>55.59</v>
      </c>
    </row>
    <row r="77" spans="1:4" x14ac:dyDescent="0.3">
      <c r="A77">
        <v>4666.67</v>
      </c>
      <c r="B77">
        <v>44.25</v>
      </c>
      <c r="C77">
        <v>3429.71</v>
      </c>
      <c r="D77">
        <v>63.85</v>
      </c>
    </row>
    <row r="78" spans="1:4" x14ac:dyDescent="0.3">
      <c r="A78">
        <v>5204.03</v>
      </c>
      <c r="B78">
        <v>41.82</v>
      </c>
      <c r="C78">
        <v>3669.76</v>
      </c>
      <c r="D78">
        <v>53.97</v>
      </c>
    </row>
    <row r="79" spans="1:4" x14ac:dyDescent="0.3">
      <c r="A79">
        <v>3209.56</v>
      </c>
      <c r="B79">
        <v>37.43</v>
      </c>
      <c r="C79">
        <v>2460.6799999999998</v>
      </c>
      <c r="D79">
        <v>48.5</v>
      </c>
    </row>
    <row r="80" spans="1:4" x14ac:dyDescent="0.3">
      <c r="A80">
        <v>5070.8100000000004</v>
      </c>
      <c r="B80">
        <v>26.81</v>
      </c>
      <c r="C80">
        <v>4980.92</v>
      </c>
      <c r="D80">
        <v>49.62</v>
      </c>
    </row>
    <row r="81" spans="1:4" x14ac:dyDescent="0.3">
      <c r="A81">
        <v>3793.05</v>
      </c>
      <c r="B81">
        <v>41.03</v>
      </c>
      <c r="C81">
        <v>2071.34</v>
      </c>
      <c r="D81">
        <v>42.64</v>
      </c>
    </row>
    <row r="82" spans="1:4" x14ac:dyDescent="0.3">
      <c r="A82">
        <v>6823.94</v>
      </c>
      <c r="B82">
        <v>26.43</v>
      </c>
      <c r="C82">
        <v>4468.3599999999997</v>
      </c>
      <c r="D82">
        <v>49.24</v>
      </c>
    </row>
    <row r="83" spans="1:4" x14ac:dyDescent="0.3">
      <c r="A83">
        <v>4526.71</v>
      </c>
      <c r="B83">
        <v>47.11</v>
      </c>
      <c r="C83">
        <v>2593.88</v>
      </c>
      <c r="D83">
        <v>103.39</v>
      </c>
    </row>
    <row r="84" spans="1:4" x14ac:dyDescent="0.3">
      <c r="A84">
        <v>4434.93</v>
      </c>
      <c r="B84">
        <v>66.099999999999994</v>
      </c>
      <c r="C84">
        <v>4480.05</v>
      </c>
      <c r="D84">
        <v>35.08</v>
      </c>
    </row>
    <row r="85" spans="1:4" x14ac:dyDescent="0.3">
      <c r="A85">
        <v>3975.35</v>
      </c>
      <c r="B85">
        <v>57.08</v>
      </c>
      <c r="C85">
        <v>3012.45</v>
      </c>
      <c r="D85">
        <v>51.77</v>
      </c>
    </row>
    <row r="86" spans="1:4" x14ac:dyDescent="0.3">
      <c r="A86">
        <v>6916.49</v>
      </c>
      <c r="B86">
        <v>71.209999999999994</v>
      </c>
      <c r="C86">
        <v>7125.44</v>
      </c>
      <c r="D86">
        <v>85.81</v>
      </c>
    </row>
    <row r="87" spans="1:4" x14ac:dyDescent="0.3">
      <c r="A87">
        <v>7922.34</v>
      </c>
      <c r="B87">
        <v>29.52</v>
      </c>
      <c r="C87">
        <v>4042.54</v>
      </c>
      <c r="D87">
        <v>66.78</v>
      </c>
    </row>
    <row r="88" spans="1:4" x14ac:dyDescent="0.3">
      <c r="A88">
        <v>8080.57</v>
      </c>
      <c r="B88">
        <v>33.75</v>
      </c>
      <c r="C88">
        <v>5314.91</v>
      </c>
      <c r="D88">
        <v>95.27</v>
      </c>
    </row>
    <row r="89" spans="1:4" x14ac:dyDescent="0.3">
      <c r="A89">
        <v>7113.61</v>
      </c>
      <c r="B89">
        <v>48.27</v>
      </c>
      <c r="C89">
        <v>3888.36</v>
      </c>
      <c r="D89">
        <v>81.540000000000006</v>
      </c>
    </row>
    <row r="90" spans="1:4" x14ac:dyDescent="0.3">
      <c r="A90">
        <v>29327.13</v>
      </c>
      <c r="B90">
        <v>64.58</v>
      </c>
      <c r="C90">
        <v>8321.2999999999993</v>
      </c>
      <c r="D90">
        <v>133.32</v>
      </c>
    </row>
    <row r="91" spans="1:4" x14ac:dyDescent="0.3">
      <c r="A91">
        <v>8244.56</v>
      </c>
      <c r="B91">
        <v>47.42</v>
      </c>
      <c r="C91">
        <v>3489.05</v>
      </c>
      <c r="D91">
        <v>410.22</v>
      </c>
    </row>
    <row r="92" spans="1:4" x14ac:dyDescent="0.3">
      <c r="A92">
        <v>6450.28</v>
      </c>
      <c r="B92">
        <v>32.96</v>
      </c>
      <c r="C92">
        <v>7695.07</v>
      </c>
      <c r="D92">
        <v>60.12</v>
      </c>
    </row>
    <row r="93" spans="1:4" x14ac:dyDescent="0.3">
      <c r="A93">
        <v>8429.2800000000007</v>
      </c>
      <c r="B93">
        <v>45.39</v>
      </c>
      <c r="C93">
        <v>2529.2600000000002</v>
      </c>
      <c r="D93">
        <v>295.81</v>
      </c>
    </row>
    <row r="94" spans="1:4" x14ac:dyDescent="0.3">
      <c r="A94">
        <v>6964.32</v>
      </c>
      <c r="B94">
        <v>55.61</v>
      </c>
      <c r="C94">
        <v>6561.01</v>
      </c>
      <c r="D94">
        <v>224.76</v>
      </c>
    </row>
    <row r="95" spans="1:4" x14ac:dyDescent="0.3">
      <c r="A95">
        <v>7629.05</v>
      </c>
      <c r="B95">
        <v>64.48</v>
      </c>
      <c r="C95">
        <v>4549.18</v>
      </c>
      <c r="D95">
        <v>145.11000000000001</v>
      </c>
    </row>
    <row r="96" spans="1:4" x14ac:dyDescent="0.3">
      <c r="A96">
        <v>7527.89</v>
      </c>
      <c r="B96">
        <v>44.47</v>
      </c>
      <c r="C96">
        <v>4544.8100000000004</v>
      </c>
      <c r="D96">
        <v>48.5</v>
      </c>
    </row>
    <row r="97" spans="1:4" x14ac:dyDescent="0.3">
      <c r="A97">
        <v>8693.6</v>
      </c>
      <c r="B97">
        <v>65.2</v>
      </c>
      <c r="C97">
        <v>3914.05</v>
      </c>
      <c r="D97">
        <v>86.08</v>
      </c>
    </row>
    <row r="98" spans="1:4" x14ac:dyDescent="0.3">
      <c r="A98">
        <v>8405.2999999999993</v>
      </c>
      <c r="B98">
        <v>44.96</v>
      </c>
      <c r="C98">
        <v>6400.59</v>
      </c>
      <c r="D98">
        <v>290.54000000000002</v>
      </c>
    </row>
    <row r="99" spans="1:4" x14ac:dyDescent="0.3">
      <c r="A99">
        <v>9172.81</v>
      </c>
      <c r="B99">
        <v>53.07</v>
      </c>
      <c r="C99">
        <v>3967.25</v>
      </c>
      <c r="D99">
        <v>69.989999999999995</v>
      </c>
    </row>
    <row r="100" spans="1:4" x14ac:dyDescent="0.3">
      <c r="A100">
        <v>7042.69</v>
      </c>
      <c r="B100">
        <v>73.94</v>
      </c>
      <c r="C100">
        <v>8675.36</v>
      </c>
      <c r="D100">
        <v>97.19</v>
      </c>
    </row>
    <row r="101" spans="1:4" x14ac:dyDescent="0.3">
      <c r="A101">
        <v>10663.48</v>
      </c>
      <c r="B101">
        <v>61.48</v>
      </c>
      <c r="C101">
        <v>4390.04</v>
      </c>
      <c r="D101">
        <v>1188.99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0A69-2DB3-458A-A07C-1A5AB3B00358}">
  <dimension ref="A1:M101"/>
  <sheetViews>
    <sheetView workbookViewId="0">
      <selection activeCell="H22" sqref="H22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7501.26</v>
      </c>
      <c r="B2">
        <v>44.06</v>
      </c>
      <c r="C2">
        <v>4857.88</v>
      </c>
      <c r="D2">
        <v>84.35</v>
      </c>
      <c r="H2" t="s">
        <v>19</v>
      </c>
      <c r="I2" s="4">
        <f>AVERAGE(A$2:A$101)</f>
        <v>5902.7934000000005</v>
      </c>
      <c r="J2" s="4">
        <f>AVERAGE(B$2:B$101)</f>
        <v>42.210699999999967</v>
      </c>
      <c r="K2" s="4">
        <f>AVERAGE(C$2:C$101)</f>
        <v>3889.1134000000006</v>
      </c>
      <c r="L2" s="4">
        <f t="shared" ref="L2" si="0">AVERAGE(D$2:D$101)</f>
        <v>68.913200000000003</v>
      </c>
      <c r="M2" s="4"/>
    </row>
    <row r="3" spans="1:13" x14ac:dyDescent="0.3">
      <c r="A3">
        <v>4369.62</v>
      </c>
      <c r="B3">
        <v>75.37</v>
      </c>
      <c r="C3">
        <v>3534.33</v>
      </c>
      <c r="D3">
        <v>58.77</v>
      </c>
      <c r="H3" t="s">
        <v>17</v>
      </c>
      <c r="I3" s="4">
        <f>MEDIAN(A$2:A$101)</f>
        <v>6114.65</v>
      </c>
      <c r="J3" s="4">
        <f t="shared" ref="J3:L3" si="1">MEDIAN(B$2:B$101)</f>
        <v>40.875</v>
      </c>
      <c r="K3" s="4">
        <f t="shared" si="1"/>
        <v>3565.25</v>
      </c>
      <c r="L3" s="4">
        <f t="shared" si="1"/>
        <v>50.57</v>
      </c>
      <c r="M3" s="4"/>
    </row>
    <row r="4" spans="1:13" x14ac:dyDescent="0.3">
      <c r="A4">
        <v>7214.16</v>
      </c>
      <c r="B4">
        <v>43.63</v>
      </c>
      <c r="C4">
        <v>4654.5200000000004</v>
      </c>
      <c r="D4">
        <v>54.89</v>
      </c>
      <c r="H4" t="s">
        <v>18</v>
      </c>
      <c r="I4" s="4">
        <f>_xlfn.STDEV.S(A$2:A$101)</f>
        <v>3018.5442855915167</v>
      </c>
      <c r="J4" s="4">
        <f t="shared" ref="J4:L4" si="2">_xlfn.STDEV.S(B$2:B$101)</f>
        <v>16.726350846385071</v>
      </c>
      <c r="K4" s="4">
        <f t="shared" si="2"/>
        <v>1734.7110907584693</v>
      </c>
      <c r="L4" s="4">
        <f t="shared" si="2"/>
        <v>80.935129228240086</v>
      </c>
      <c r="M4" s="4"/>
    </row>
    <row r="5" spans="1:13" x14ac:dyDescent="0.3">
      <c r="A5">
        <v>4343.53</v>
      </c>
      <c r="B5">
        <v>24.92</v>
      </c>
      <c r="C5">
        <v>3306.09</v>
      </c>
      <c r="D5">
        <v>60.55</v>
      </c>
    </row>
    <row r="6" spans="1:13" x14ac:dyDescent="0.3">
      <c r="A6">
        <v>8234.8799999999992</v>
      </c>
      <c r="B6">
        <v>50.78</v>
      </c>
      <c r="C6">
        <v>4891.03</v>
      </c>
      <c r="D6">
        <v>44.6</v>
      </c>
    </row>
    <row r="7" spans="1:13" x14ac:dyDescent="0.3">
      <c r="A7">
        <v>4383.25</v>
      </c>
      <c r="B7">
        <v>24.81</v>
      </c>
      <c r="C7">
        <v>2770.69</v>
      </c>
      <c r="D7">
        <v>46.59</v>
      </c>
      <c r="I7" s="4"/>
      <c r="J7" s="4"/>
      <c r="K7" s="4"/>
      <c r="L7" s="4"/>
      <c r="M7" s="4"/>
    </row>
    <row r="8" spans="1:13" x14ac:dyDescent="0.3">
      <c r="A8">
        <v>7579.49</v>
      </c>
      <c r="B8">
        <v>41.4</v>
      </c>
      <c r="C8">
        <v>5223.0600000000004</v>
      </c>
      <c r="D8">
        <v>47.29</v>
      </c>
      <c r="I8" s="4"/>
      <c r="J8" s="4"/>
      <c r="K8" s="4"/>
      <c r="L8" s="4"/>
      <c r="M8" s="4"/>
    </row>
    <row r="9" spans="1:13" x14ac:dyDescent="0.3">
      <c r="A9">
        <v>4730.18</v>
      </c>
      <c r="B9">
        <v>49.94</v>
      </c>
      <c r="C9">
        <v>3262.72</v>
      </c>
      <c r="D9">
        <v>50.18</v>
      </c>
      <c r="I9" s="4"/>
      <c r="J9" s="4"/>
      <c r="K9" s="4"/>
      <c r="L9" s="4"/>
      <c r="M9" s="4"/>
    </row>
    <row r="10" spans="1:13" x14ac:dyDescent="0.3">
      <c r="A10">
        <v>7587</v>
      </c>
      <c r="B10">
        <v>41.75</v>
      </c>
      <c r="C10">
        <v>4565.45</v>
      </c>
      <c r="D10">
        <v>46.82</v>
      </c>
    </row>
    <row r="11" spans="1:13" x14ac:dyDescent="0.3">
      <c r="A11">
        <v>3673.38</v>
      </c>
      <c r="B11">
        <v>24.07</v>
      </c>
      <c r="C11">
        <v>3105.22</v>
      </c>
      <c r="D11">
        <v>91.26</v>
      </c>
    </row>
    <row r="12" spans="1:13" x14ac:dyDescent="0.3">
      <c r="A12">
        <v>8136.16</v>
      </c>
      <c r="B12">
        <v>42.57</v>
      </c>
      <c r="C12">
        <v>5243.74</v>
      </c>
      <c r="D12">
        <v>48.42</v>
      </c>
    </row>
    <row r="13" spans="1:13" x14ac:dyDescent="0.3">
      <c r="A13">
        <v>4731.07</v>
      </c>
      <c r="B13">
        <v>31.06</v>
      </c>
      <c r="C13">
        <v>3388.06</v>
      </c>
      <c r="D13">
        <v>46.46</v>
      </c>
    </row>
    <row r="14" spans="1:13" x14ac:dyDescent="0.3">
      <c r="A14">
        <v>4023.85</v>
      </c>
      <c r="B14">
        <v>23.07</v>
      </c>
      <c r="C14">
        <v>3527.32</v>
      </c>
      <c r="D14">
        <v>31.58</v>
      </c>
    </row>
    <row r="15" spans="1:13" x14ac:dyDescent="0.3">
      <c r="A15">
        <v>3893.86</v>
      </c>
      <c r="B15">
        <v>29.55</v>
      </c>
      <c r="C15">
        <v>2463.46</v>
      </c>
      <c r="D15">
        <v>70.52</v>
      </c>
    </row>
    <row r="16" spans="1:13" x14ac:dyDescent="0.3">
      <c r="A16">
        <v>7226.14</v>
      </c>
      <c r="B16">
        <v>22.09</v>
      </c>
      <c r="C16">
        <v>3535.24</v>
      </c>
      <c r="D16">
        <v>31.38</v>
      </c>
    </row>
    <row r="17" spans="1:4" x14ac:dyDescent="0.3">
      <c r="A17">
        <v>2651.49</v>
      </c>
      <c r="B17">
        <v>28.74</v>
      </c>
      <c r="C17">
        <v>2228.14</v>
      </c>
      <c r="D17">
        <v>30.26</v>
      </c>
    </row>
    <row r="18" spans="1:4" x14ac:dyDescent="0.3">
      <c r="A18">
        <v>5824.29</v>
      </c>
      <c r="B18">
        <v>21.94</v>
      </c>
      <c r="C18">
        <v>3870.25</v>
      </c>
      <c r="D18">
        <v>41.91</v>
      </c>
    </row>
    <row r="19" spans="1:4" x14ac:dyDescent="0.3">
      <c r="A19">
        <v>3233.67</v>
      </c>
      <c r="B19">
        <v>25.92</v>
      </c>
      <c r="C19">
        <v>2161.38</v>
      </c>
      <c r="D19">
        <v>25.43</v>
      </c>
    </row>
    <row r="20" spans="1:4" x14ac:dyDescent="0.3">
      <c r="A20">
        <v>6149.39</v>
      </c>
      <c r="B20">
        <v>45.39</v>
      </c>
      <c r="C20">
        <v>4124.8500000000004</v>
      </c>
      <c r="D20">
        <v>83.6</v>
      </c>
    </row>
    <row r="21" spans="1:4" x14ac:dyDescent="0.3">
      <c r="A21">
        <v>3251.75</v>
      </c>
      <c r="B21">
        <v>44.03</v>
      </c>
      <c r="C21">
        <v>1920.77</v>
      </c>
      <c r="D21">
        <v>25.55</v>
      </c>
    </row>
    <row r="22" spans="1:4" x14ac:dyDescent="0.3">
      <c r="A22">
        <v>6934.7</v>
      </c>
      <c r="B22">
        <v>47.64</v>
      </c>
      <c r="C22">
        <v>5709.91</v>
      </c>
      <c r="D22">
        <v>50.96</v>
      </c>
    </row>
    <row r="23" spans="1:4" x14ac:dyDescent="0.3">
      <c r="A23">
        <v>2950.4</v>
      </c>
      <c r="B23">
        <v>33.32</v>
      </c>
      <c r="C23">
        <v>2317.35</v>
      </c>
      <c r="D23">
        <v>52.21</v>
      </c>
    </row>
    <row r="24" spans="1:4" x14ac:dyDescent="0.3">
      <c r="A24">
        <v>7004.03</v>
      </c>
      <c r="B24">
        <v>39.58</v>
      </c>
      <c r="C24">
        <v>3416.54</v>
      </c>
      <c r="D24">
        <v>28.92</v>
      </c>
    </row>
    <row r="25" spans="1:4" x14ac:dyDescent="0.3">
      <c r="A25">
        <v>2409.0300000000002</v>
      </c>
      <c r="B25">
        <v>28.15</v>
      </c>
      <c r="C25">
        <v>2019.25</v>
      </c>
      <c r="D25">
        <v>32.479999999999997</v>
      </c>
    </row>
    <row r="26" spans="1:4" x14ac:dyDescent="0.3">
      <c r="A26">
        <v>6373.3</v>
      </c>
      <c r="B26">
        <v>24.74</v>
      </c>
      <c r="C26">
        <v>3553.22</v>
      </c>
      <c r="D26">
        <v>33.07</v>
      </c>
    </row>
    <row r="27" spans="1:4" x14ac:dyDescent="0.3">
      <c r="A27">
        <v>2801.6</v>
      </c>
      <c r="B27">
        <v>25.06</v>
      </c>
      <c r="C27">
        <v>1776.91</v>
      </c>
      <c r="D27">
        <v>43.46</v>
      </c>
    </row>
    <row r="28" spans="1:4" x14ac:dyDescent="0.3">
      <c r="A28">
        <v>7597.4</v>
      </c>
      <c r="B28">
        <v>22.83</v>
      </c>
      <c r="C28">
        <v>3860.92</v>
      </c>
      <c r="D28">
        <v>45.14</v>
      </c>
    </row>
    <row r="29" spans="1:4" x14ac:dyDescent="0.3">
      <c r="A29">
        <v>3918.92</v>
      </c>
      <c r="B29">
        <v>47.22</v>
      </c>
      <c r="C29">
        <v>3196.92</v>
      </c>
      <c r="D29">
        <v>52.94</v>
      </c>
    </row>
    <row r="30" spans="1:4" x14ac:dyDescent="0.3">
      <c r="A30">
        <v>6235.52</v>
      </c>
      <c r="B30">
        <v>24.2</v>
      </c>
      <c r="C30">
        <v>4071.11</v>
      </c>
      <c r="D30">
        <v>28.99</v>
      </c>
    </row>
    <row r="31" spans="1:4" x14ac:dyDescent="0.3">
      <c r="A31">
        <v>3167.28</v>
      </c>
      <c r="B31">
        <v>27.66</v>
      </c>
      <c r="C31">
        <v>1945.94</v>
      </c>
      <c r="D31">
        <v>29.23</v>
      </c>
    </row>
    <row r="32" spans="1:4" x14ac:dyDescent="0.3">
      <c r="A32">
        <v>6114.94</v>
      </c>
      <c r="B32">
        <v>32.159999999999997</v>
      </c>
      <c r="C32">
        <v>4242.3500000000004</v>
      </c>
      <c r="D32">
        <v>66.349999999999994</v>
      </c>
    </row>
    <row r="33" spans="1:4" x14ac:dyDescent="0.3">
      <c r="A33">
        <v>3531.14</v>
      </c>
      <c r="B33">
        <v>26.93</v>
      </c>
      <c r="C33">
        <v>2322.87</v>
      </c>
      <c r="D33">
        <v>27.1</v>
      </c>
    </row>
    <row r="34" spans="1:4" x14ac:dyDescent="0.3">
      <c r="A34">
        <v>6605.96</v>
      </c>
      <c r="B34">
        <v>46.55</v>
      </c>
      <c r="C34">
        <v>3599.26</v>
      </c>
      <c r="D34">
        <v>29.8</v>
      </c>
    </row>
    <row r="35" spans="1:4" x14ac:dyDescent="0.3">
      <c r="A35">
        <v>2981.22</v>
      </c>
      <c r="B35">
        <v>45.54</v>
      </c>
      <c r="C35">
        <v>2969.29</v>
      </c>
      <c r="D35">
        <v>147.05000000000001</v>
      </c>
    </row>
    <row r="36" spans="1:4" x14ac:dyDescent="0.3">
      <c r="A36">
        <v>6093.31</v>
      </c>
      <c r="B36">
        <v>49.11</v>
      </c>
      <c r="C36">
        <v>4313.41</v>
      </c>
      <c r="D36">
        <v>41.45</v>
      </c>
    </row>
    <row r="37" spans="1:4" x14ac:dyDescent="0.3">
      <c r="A37">
        <v>2774.28</v>
      </c>
      <c r="B37">
        <v>48.1</v>
      </c>
      <c r="C37">
        <v>1940.96</v>
      </c>
      <c r="D37">
        <v>63.46</v>
      </c>
    </row>
    <row r="38" spans="1:4" x14ac:dyDescent="0.3">
      <c r="A38">
        <v>6291.2</v>
      </c>
      <c r="B38">
        <v>23.8</v>
      </c>
      <c r="C38">
        <v>2893.55</v>
      </c>
      <c r="D38">
        <v>25.31</v>
      </c>
    </row>
    <row r="39" spans="1:4" x14ac:dyDescent="0.3">
      <c r="A39">
        <v>3894.53</v>
      </c>
      <c r="B39">
        <v>50.07</v>
      </c>
      <c r="C39">
        <v>2624.21</v>
      </c>
      <c r="D39">
        <v>25.87</v>
      </c>
    </row>
    <row r="40" spans="1:4" x14ac:dyDescent="0.3">
      <c r="A40">
        <v>6320.86</v>
      </c>
      <c r="B40">
        <v>23.56</v>
      </c>
      <c r="C40">
        <v>3577.28</v>
      </c>
      <c r="D40">
        <v>24.73</v>
      </c>
    </row>
    <row r="41" spans="1:4" x14ac:dyDescent="0.3">
      <c r="A41">
        <v>2417.23</v>
      </c>
      <c r="B41">
        <v>30.92</v>
      </c>
      <c r="C41">
        <v>2527.14</v>
      </c>
      <c r="D41">
        <v>61.16</v>
      </c>
    </row>
    <row r="42" spans="1:4" x14ac:dyDescent="0.3">
      <c r="A42">
        <v>5847.32</v>
      </c>
      <c r="B42">
        <v>24.26</v>
      </c>
      <c r="C42">
        <v>4326.51</v>
      </c>
      <c r="D42">
        <v>43.61</v>
      </c>
    </row>
    <row r="43" spans="1:4" x14ac:dyDescent="0.3">
      <c r="A43">
        <v>2856.44</v>
      </c>
      <c r="B43">
        <v>23.38</v>
      </c>
      <c r="C43">
        <v>2205.79</v>
      </c>
      <c r="D43">
        <v>27.87</v>
      </c>
    </row>
    <row r="44" spans="1:4" x14ac:dyDescent="0.3">
      <c r="A44">
        <v>6408.15</v>
      </c>
      <c r="B44">
        <v>27.3</v>
      </c>
      <c r="C44">
        <v>4121.07</v>
      </c>
      <c r="D44">
        <v>66.040000000000006</v>
      </c>
    </row>
    <row r="45" spans="1:4" x14ac:dyDescent="0.3">
      <c r="A45">
        <v>4207.22</v>
      </c>
      <c r="B45">
        <v>26.79</v>
      </c>
      <c r="C45">
        <v>2604.0500000000002</v>
      </c>
      <c r="D45">
        <v>46.88</v>
      </c>
    </row>
    <row r="46" spans="1:4" x14ac:dyDescent="0.3">
      <c r="A46">
        <v>7490.67</v>
      </c>
      <c r="B46">
        <v>39.799999999999997</v>
      </c>
      <c r="C46">
        <v>4264.93</v>
      </c>
      <c r="D46">
        <v>26.95</v>
      </c>
    </row>
    <row r="47" spans="1:4" x14ac:dyDescent="0.3">
      <c r="A47">
        <v>4035.32</v>
      </c>
      <c r="B47">
        <v>27.82</v>
      </c>
      <c r="C47">
        <v>2851.83</v>
      </c>
      <c r="D47">
        <v>37.659999999999997</v>
      </c>
    </row>
    <row r="48" spans="1:4" x14ac:dyDescent="0.3">
      <c r="A48">
        <v>7123.88</v>
      </c>
      <c r="B48">
        <v>79.260000000000005</v>
      </c>
      <c r="C48">
        <v>5274.82</v>
      </c>
      <c r="D48">
        <v>51.82</v>
      </c>
    </row>
    <row r="49" spans="1:4" x14ac:dyDescent="0.3">
      <c r="A49">
        <v>3303.09</v>
      </c>
      <c r="B49">
        <v>24.32</v>
      </c>
      <c r="C49">
        <v>2440.3200000000002</v>
      </c>
      <c r="D49">
        <v>83.4</v>
      </c>
    </row>
    <row r="50" spans="1:4" x14ac:dyDescent="0.3">
      <c r="A50">
        <v>5439.38</v>
      </c>
      <c r="B50">
        <v>43.27</v>
      </c>
      <c r="C50">
        <v>3474.06</v>
      </c>
      <c r="D50">
        <v>53.74</v>
      </c>
    </row>
    <row r="51" spans="1:4" x14ac:dyDescent="0.3">
      <c r="A51">
        <v>2958.29</v>
      </c>
      <c r="B51">
        <v>51.04</v>
      </c>
      <c r="C51">
        <v>2631.89</v>
      </c>
      <c r="D51">
        <v>53.64</v>
      </c>
    </row>
    <row r="52" spans="1:4" x14ac:dyDescent="0.3">
      <c r="A52">
        <v>6832.85</v>
      </c>
      <c r="B52">
        <v>60.58</v>
      </c>
      <c r="C52">
        <v>4624.8900000000003</v>
      </c>
      <c r="D52">
        <v>30.74</v>
      </c>
    </row>
    <row r="53" spans="1:4" x14ac:dyDescent="0.3">
      <c r="A53">
        <v>2891.61</v>
      </c>
      <c r="B53">
        <v>29.08</v>
      </c>
      <c r="C53">
        <v>1825.82</v>
      </c>
      <c r="D53">
        <v>88.8</v>
      </c>
    </row>
    <row r="54" spans="1:4" x14ac:dyDescent="0.3">
      <c r="A54">
        <v>5343.68</v>
      </c>
      <c r="B54">
        <v>22.12</v>
      </c>
      <c r="C54">
        <v>3915.41</v>
      </c>
      <c r="D54">
        <v>23.91</v>
      </c>
    </row>
    <row r="55" spans="1:4" x14ac:dyDescent="0.3">
      <c r="A55">
        <v>3055.58</v>
      </c>
      <c r="B55">
        <v>40.06</v>
      </c>
      <c r="C55">
        <v>2441.69</v>
      </c>
      <c r="D55">
        <v>25.38</v>
      </c>
    </row>
    <row r="56" spans="1:4" x14ac:dyDescent="0.3">
      <c r="A56">
        <v>5674.7</v>
      </c>
      <c r="B56">
        <v>42.05</v>
      </c>
      <c r="C56">
        <v>4058.35</v>
      </c>
      <c r="D56">
        <v>47.86</v>
      </c>
    </row>
    <row r="57" spans="1:4" x14ac:dyDescent="0.3">
      <c r="A57">
        <v>3421.22</v>
      </c>
      <c r="B57">
        <v>36.130000000000003</v>
      </c>
      <c r="C57">
        <v>2526.5100000000002</v>
      </c>
      <c r="D57">
        <v>73.87</v>
      </c>
    </row>
    <row r="58" spans="1:4" x14ac:dyDescent="0.3">
      <c r="A58">
        <v>6687.62</v>
      </c>
      <c r="B58">
        <v>34.54</v>
      </c>
      <c r="C58">
        <v>3999.19</v>
      </c>
      <c r="D58">
        <v>43.89</v>
      </c>
    </row>
    <row r="59" spans="1:4" x14ac:dyDescent="0.3">
      <c r="A59">
        <v>3029.96</v>
      </c>
      <c r="B59">
        <v>21.53</v>
      </c>
      <c r="C59">
        <v>1683.7</v>
      </c>
      <c r="D59">
        <v>25</v>
      </c>
    </row>
    <row r="60" spans="1:4" x14ac:dyDescent="0.3">
      <c r="A60">
        <v>6194.96</v>
      </c>
      <c r="B60">
        <v>33.020000000000003</v>
      </c>
      <c r="C60">
        <v>5039.3599999999997</v>
      </c>
      <c r="D60">
        <v>26.35</v>
      </c>
    </row>
    <row r="61" spans="1:4" x14ac:dyDescent="0.3">
      <c r="A61">
        <v>4292.46</v>
      </c>
      <c r="B61">
        <v>42.18</v>
      </c>
      <c r="C61">
        <v>2711.16</v>
      </c>
      <c r="D61">
        <v>48.85</v>
      </c>
    </row>
    <row r="62" spans="1:4" x14ac:dyDescent="0.3">
      <c r="A62">
        <v>7767.82</v>
      </c>
      <c r="B62">
        <v>41.83</v>
      </c>
      <c r="C62">
        <v>10338.030000000001</v>
      </c>
      <c r="D62">
        <v>45.45</v>
      </c>
    </row>
    <row r="63" spans="1:4" x14ac:dyDescent="0.3">
      <c r="A63">
        <v>6309.38</v>
      </c>
      <c r="B63">
        <v>37.65</v>
      </c>
      <c r="C63">
        <v>2815.29</v>
      </c>
      <c r="D63">
        <v>425.6</v>
      </c>
    </row>
    <row r="64" spans="1:4" x14ac:dyDescent="0.3">
      <c r="A64">
        <v>7734.63</v>
      </c>
      <c r="B64">
        <v>57.47</v>
      </c>
      <c r="C64">
        <v>4844.29</v>
      </c>
      <c r="D64">
        <v>54.71</v>
      </c>
    </row>
    <row r="65" spans="1:4" x14ac:dyDescent="0.3">
      <c r="A65">
        <v>4041.76</v>
      </c>
      <c r="B65">
        <v>54.47</v>
      </c>
      <c r="C65">
        <v>2584.69</v>
      </c>
      <c r="D65">
        <v>59.7</v>
      </c>
    </row>
    <row r="66" spans="1:4" x14ac:dyDescent="0.3">
      <c r="A66">
        <v>7374.29</v>
      </c>
      <c r="B66">
        <v>35.93</v>
      </c>
      <c r="C66">
        <v>4461.25</v>
      </c>
      <c r="D66">
        <v>30.02</v>
      </c>
    </row>
    <row r="67" spans="1:4" x14ac:dyDescent="0.3">
      <c r="A67">
        <v>4010.06</v>
      </c>
      <c r="B67">
        <v>51.66</v>
      </c>
      <c r="C67">
        <v>2680.52</v>
      </c>
      <c r="D67">
        <v>56.51</v>
      </c>
    </row>
    <row r="68" spans="1:4" x14ac:dyDescent="0.3">
      <c r="A68">
        <v>8523.2000000000007</v>
      </c>
      <c r="B68">
        <v>27.57</v>
      </c>
      <c r="C68">
        <v>4276.4799999999996</v>
      </c>
      <c r="D68">
        <v>23.9</v>
      </c>
    </row>
    <row r="69" spans="1:4" x14ac:dyDescent="0.3">
      <c r="A69">
        <v>3936.83</v>
      </c>
      <c r="B69">
        <v>42.17</v>
      </c>
      <c r="C69">
        <v>2721.5</v>
      </c>
      <c r="D69">
        <v>55.94</v>
      </c>
    </row>
    <row r="70" spans="1:4" x14ac:dyDescent="0.3">
      <c r="A70">
        <v>9629.35</v>
      </c>
      <c r="B70">
        <v>37.32</v>
      </c>
      <c r="C70">
        <v>3856.86</v>
      </c>
      <c r="D70">
        <v>55.26</v>
      </c>
    </row>
    <row r="71" spans="1:4" x14ac:dyDescent="0.3">
      <c r="A71">
        <v>3974.61</v>
      </c>
      <c r="B71">
        <v>42.13</v>
      </c>
      <c r="C71">
        <v>2685.35</v>
      </c>
      <c r="D71">
        <v>51.25</v>
      </c>
    </row>
    <row r="72" spans="1:4" x14ac:dyDescent="0.3">
      <c r="A72">
        <v>7916.64</v>
      </c>
      <c r="B72">
        <v>39.75</v>
      </c>
      <c r="C72">
        <v>4497.54</v>
      </c>
      <c r="D72">
        <v>53.54</v>
      </c>
    </row>
    <row r="73" spans="1:4" x14ac:dyDescent="0.3">
      <c r="A73">
        <v>3983.38</v>
      </c>
      <c r="B73">
        <v>39.71</v>
      </c>
      <c r="C73">
        <v>2634.37</v>
      </c>
      <c r="D73">
        <v>28.47</v>
      </c>
    </row>
    <row r="74" spans="1:4" x14ac:dyDescent="0.3">
      <c r="A74">
        <v>6658.76</v>
      </c>
      <c r="B74">
        <v>37.83</v>
      </c>
      <c r="C74">
        <v>3825.09</v>
      </c>
      <c r="D74">
        <v>54.62</v>
      </c>
    </row>
    <row r="75" spans="1:4" x14ac:dyDescent="0.3">
      <c r="A75">
        <v>3189.23</v>
      </c>
      <c r="B75">
        <v>40.35</v>
      </c>
      <c r="C75">
        <v>2659.61</v>
      </c>
      <c r="D75">
        <v>49.94</v>
      </c>
    </row>
    <row r="76" spans="1:4" x14ac:dyDescent="0.3">
      <c r="A76">
        <v>10286.69</v>
      </c>
      <c r="B76">
        <v>68.14</v>
      </c>
      <c r="C76">
        <v>5467.56</v>
      </c>
      <c r="D76">
        <v>47.97</v>
      </c>
    </row>
    <row r="77" spans="1:4" x14ac:dyDescent="0.3">
      <c r="A77">
        <v>4919.83</v>
      </c>
      <c r="B77">
        <v>51.77</v>
      </c>
      <c r="C77">
        <v>3353.39</v>
      </c>
      <c r="D77">
        <v>89.19</v>
      </c>
    </row>
    <row r="78" spans="1:4" x14ac:dyDescent="0.3">
      <c r="A78">
        <v>6258.43</v>
      </c>
      <c r="B78">
        <v>24.54</v>
      </c>
      <c r="C78">
        <v>2668.22</v>
      </c>
      <c r="D78">
        <v>28.38</v>
      </c>
    </row>
    <row r="79" spans="1:4" x14ac:dyDescent="0.3">
      <c r="A79">
        <v>3238.79</v>
      </c>
      <c r="B79">
        <v>51.14</v>
      </c>
      <c r="C79">
        <v>2575.44</v>
      </c>
      <c r="D79">
        <v>51.99</v>
      </c>
    </row>
    <row r="80" spans="1:4" x14ac:dyDescent="0.3">
      <c r="A80">
        <v>6009.07</v>
      </c>
      <c r="B80">
        <v>44.62</v>
      </c>
      <c r="C80">
        <v>9485.85</v>
      </c>
      <c r="D80">
        <v>250.92</v>
      </c>
    </row>
    <row r="81" spans="1:4" x14ac:dyDescent="0.3">
      <c r="A81">
        <v>4735.9799999999996</v>
      </c>
      <c r="B81">
        <v>83.72</v>
      </c>
      <c r="C81">
        <v>2622.75</v>
      </c>
      <c r="D81">
        <v>350.5</v>
      </c>
    </row>
    <row r="82" spans="1:4" x14ac:dyDescent="0.3">
      <c r="A82">
        <v>5374.9</v>
      </c>
      <c r="B82">
        <v>23.98</v>
      </c>
      <c r="C82">
        <v>3943.6</v>
      </c>
      <c r="D82">
        <v>49.75</v>
      </c>
    </row>
    <row r="83" spans="1:4" x14ac:dyDescent="0.3">
      <c r="A83">
        <v>3210.59</v>
      </c>
      <c r="B83">
        <v>30.79</v>
      </c>
      <c r="C83">
        <v>2242.0100000000002</v>
      </c>
      <c r="D83">
        <v>30.34</v>
      </c>
    </row>
    <row r="84" spans="1:4" x14ac:dyDescent="0.3">
      <c r="A84">
        <v>6973.75</v>
      </c>
      <c r="B84">
        <v>75.16</v>
      </c>
      <c r="C84">
        <v>8143.14</v>
      </c>
      <c r="D84">
        <v>122.24</v>
      </c>
    </row>
    <row r="85" spans="1:4" x14ac:dyDescent="0.3">
      <c r="A85">
        <v>6278.49</v>
      </c>
      <c r="B85">
        <v>66.87</v>
      </c>
      <c r="C85">
        <v>3959.24</v>
      </c>
      <c r="D85">
        <v>229.2</v>
      </c>
    </row>
    <row r="86" spans="1:4" x14ac:dyDescent="0.3">
      <c r="A86">
        <v>6189.89</v>
      </c>
      <c r="B86">
        <v>58.56</v>
      </c>
      <c r="C86">
        <v>5521.31</v>
      </c>
      <c r="D86">
        <v>38.65</v>
      </c>
    </row>
    <row r="87" spans="1:4" x14ac:dyDescent="0.3">
      <c r="A87">
        <v>7125.49</v>
      </c>
      <c r="B87">
        <v>52.37</v>
      </c>
      <c r="C87">
        <v>4009.78</v>
      </c>
      <c r="D87">
        <v>78.459999999999994</v>
      </c>
    </row>
    <row r="88" spans="1:4" x14ac:dyDescent="0.3">
      <c r="A88">
        <v>27991.23</v>
      </c>
      <c r="B88">
        <v>64.61</v>
      </c>
      <c r="C88">
        <v>8785.1200000000008</v>
      </c>
      <c r="D88">
        <v>75.989999999999995</v>
      </c>
    </row>
    <row r="89" spans="1:4" x14ac:dyDescent="0.3">
      <c r="A89">
        <v>7852.99</v>
      </c>
      <c r="B89">
        <v>42.79</v>
      </c>
      <c r="C89">
        <v>3471.98</v>
      </c>
      <c r="D89">
        <v>620.67999999999995</v>
      </c>
    </row>
    <row r="90" spans="1:4" x14ac:dyDescent="0.3">
      <c r="A90">
        <v>8103.01</v>
      </c>
      <c r="B90">
        <v>28.83</v>
      </c>
      <c r="C90">
        <v>8895.81</v>
      </c>
      <c r="D90">
        <v>42.54</v>
      </c>
    </row>
    <row r="91" spans="1:4" x14ac:dyDescent="0.3">
      <c r="A91">
        <v>7136.72</v>
      </c>
      <c r="B91">
        <v>65.05</v>
      </c>
      <c r="C91">
        <v>2539.2399999999998</v>
      </c>
      <c r="D91">
        <v>57.6</v>
      </c>
    </row>
    <row r="92" spans="1:4" x14ac:dyDescent="0.3">
      <c r="A92">
        <v>6726.12</v>
      </c>
      <c r="B92">
        <v>66.14</v>
      </c>
      <c r="C92">
        <v>7063.47</v>
      </c>
      <c r="D92">
        <v>108.09</v>
      </c>
    </row>
    <row r="93" spans="1:4" x14ac:dyDescent="0.3">
      <c r="A93">
        <v>7402.31</v>
      </c>
      <c r="B93">
        <v>93.28</v>
      </c>
      <c r="C93">
        <v>4222.93</v>
      </c>
      <c r="D93">
        <v>72.88</v>
      </c>
    </row>
    <row r="94" spans="1:4" x14ac:dyDescent="0.3">
      <c r="A94">
        <v>6164.08</v>
      </c>
      <c r="B94">
        <v>42.9</v>
      </c>
      <c r="C94">
        <v>5107.96</v>
      </c>
      <c r="D94">
        <v>91.62</v>
      </c>
    </row>
    <row r="95" spans="1:4" x14ac:dyDescent="0.3">
      <c r="A95">
        <v>8490.0499999999993</v>
      </c>
      <c r="B95">
        <v>87.73</v>
      </c>
      <c r="C95">
        <v>3663.5</v>
      </c>
      <c r="D95">
        <v>100.96</v>
      </c>
    </row>
    <row r="96" spans="1:4" x14ac:dyDescent="0.3">
      <c r="A96">
        <v>6965.95</v>
      </c>
      <c r="B96">
        <v>58.33</v>
      </c>
      <c r="C96">
        <v>6622.15</v>
      </c>
      <c r="D96">
        <v>61.64</v>
      </c>
    </row>
    <row r="97" spans="1:4" x14ac:dyDescent="0.3">
      <c r="A97">
        <v>8772.41</v>
      </c>
      <c r="B97">
        <v>70.2</v>
      </c>
      <c r="C97">
        <v>4043.09</v>
      </c>
      <c r="D97">
        <v>86.6</v>
      </c>
    </row>
    <row r="98" spans="1:4" x14ac:dyDescent="0.3">
      <c r="A98">
        <v>10562.4</v>
      </c>
      <c r="B98">
        <v>78.91</v>
      </c>
      <c r="C98">
        <v>8642.1</v>
      </c>
      <c r="D98">
        <v>103.43</v>
      </c>
    </row>
    <row r="99" spans="1:4" x14ac:dyDescent="0.3">
      <c r="A99">
        <v>9989.26</v>
      </c>
      <c r="B99">
        <v>28.36</v>
      </c>
      <c r="C99">
        <v>3933.69</v>
      </c>
      <c r="D99">
        <v>56.48</v>
      </c>
    </row>
    <row r="100" spans="1:4" x14ac:dyDescent="0.3">
      <c r="A100">
        <v>6114.36</v>
      </c>
      <c r="B100">
        <v>53.57</v>
      </c>
      <c r="C100">
        <v>6888.26</v>
      </c>
      <c r="D100">
        <v>55.57</v>
      </c>
    </row>
    <row r="101" spans="1:4" x14ac:dyDescent="0.3">
      <c r="A101">
        <v>10106.94</v>
      </c>
      <c r="B101">
        <v>62.11</v>
      </c>
      <c r="C101">
        <v>3624.94</v>
      </c>
      <c r="D101">
        <v>88.39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1012-A573-44FC-83C7-3555E251D177}">
  <dimension ref="A1:M101"/>
  <sheetViews>
    <sheetView workbookViewId="0">
      <selection activeCell="H19" sqref="H19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5850.32</v>
      </c>
      <c r="B2">
        <v>38.909999999999997</v>
      </c>
      <c r="C2">
        <v>4965.17</v>
      </c>
      <c r="D2">
        <v>43.95</v>
      </c>
      <c r="H2" t="s">
        <v>21</v>
      </c>
      <c r="I2" s="4">
        <f>AVERAGE(A$2:A$101)</f>
        <v>5677.983000000002</v>
      </c>
      <c r="J2" s="4">
        <f>AVERAGE(B$2:B$101)</f>
        <v>44.913300000000021</v>
      </c>
      <c r="K2" s="4">
        <f>AVERAGE(C$2:C$101)</f>
        <v>3931.6689000000001</v>
      </c>
      <c r="L2" s="4">
        <f t="shared" ref="L2" si="0">AVERAGE(D$2:D$101)</f>
        <v>73.470999999999975</v>
      </c>
      <c r="M2" s="4"/>
    </row>
    <row r="3" spans="1:13" x14ac:dyDescent="0.3">
      <c r="A3">
        <v>5906.95</v>
      </c>
      <c r="B3">
        <v>41.9</v>
      </c>
      <c r="C3">
        <v>3272.66</v>
      </c>
      <c r="D3">
        <v>62.85</v>
      </c>
      <c r="H3" t="s">
        <v>17</v>
      </c>
      <c r="I3" s="4">
        <f>MEDIAN(A$2:A$101)</f>
        <v>5255.5450000000001</v>
      </c>
      <c r="J3" s="4">
        <f t="shared" ref="J3:L3" si="1">MEDIAN(B$2:B$101)</f>
        <v>43.204999999999998</v>
      </c>
      <c r="K3" s="4">
        <f t="shared" si="1"/>
        <v>3590.7649999999999</v>
      </c>
      <c r="L3" s="4">
        <f t="shared" si="1"/>
        <v>53.114999999999995</v>
      </c>
      <c r="M3" s="4"/>
    </row>
    <row r="4" spans="1:13" x14ac:dyDescent="0.3">
      <c r="A4">
        <v>6966.12</v>
      </c>
      <c r="B4">
        <v>44.85</v>
      </c>
      <c r="C4">
        <v>5262.97</v>
      </c>
      <c r="D4">
        <v>47.33</v>
      </c>
      <c r="H4" t="s">
        <v>18</v>
      </c>
      <c r="I4" s="4">
        <f>_xlfn.STDEV.S(A$2:A$101)</f>
        <v>1939.3880903055938</v>
      </c>
      <c r="J4" s="4">
        <f t="shared" ref="J4:L4" si="2">_xlfn.STDEV.S(B$2:B$101)</f>
        <v>13.726963075007685</v>
      </c>
      <c r="K4" s="4">
        <f t="shared" si="2"/>
        <v>1423.7431994803185</v>
      </c>
      <c r="L4" s="4">
        <f t="shared" si="2"/>
        <v>85.304200726670913</v>
      </c>
      <c r="M4" s="4"/>
    </row>
    <row r="5" spans="1:13" x14ac:dyDescent="0.3">
      <c r="A5">
        <v>5239.3100000000004</v>
      </c>
      <c r="B5">
        <v>45.44</v>
      </c>
      <c r="C5">
        <v>3366.49</v>
      </c>
      <c r="D5">
        <v>113.47</v>
      </c>
    </row>
    <row r="6" spans="1:13" x14ac:dyDescent="0.3">
      <c r="A6">
        <v>6980.11</v>
      </c>
      <c r="B6">
        <v>39.43</v>
      </c>
      <c r="C6">
        <v>5223.3999999999996</v>
      </c>
      <c r="D6">
        <v>46.46</v>
      </c>
    </row>
    <row r="7" spans="1:13" x14ac:dyDescent="0.3">
      <c r="A7">
        <v>4070.53</v>
      </c>
      <c r="B7">
        <v>52.68</v>
      </c>
      <c r="C7">
        <v>3357.31</v>
      </c>
      <c r="D7">
        <v>289.77</v>
      </c>
    </row>
    <row r="8" spans="1:13" x14ac:dyDescent="0.3">
      <c r="A8">
        <v>8289.34</v>
      </c>
      <c r="B8">
        <v>69.17</v>
      </c>
      <c r="C8">
        <v>4792</v>
      </c>
      <c r="D8">
        <v>47.45</v>
      </c>
    </row>
    <row r="9" spans="1:13" x14ac:dyDescent="0.3">
      <c r="A9">
        <v>3831.81</v>
      </c>
      <c r="B9">
        <v>72.22</v>
      </c>
      <c r="C9">
        <v>2769.76</v>
      </c>
      <c r="D9">
        <v>67.180000000000007</v>
      </c>
    </row>
    <row r="10" spans="1:13" x14ac:dyDescent="0.3">
      <c r="A10">
        <v>6587.58</v>
      </c>
      <c r="B10">
        <v>20.16</v>
      </c>
      <c r="C10">
        <v>4218.5</v>
      </c>
      <c r="D10">
        <v>99.14</v>
      </c>
    </row>
    <row r="11" spans="1:13" x14ac:dyDescent="0.3">
      <c r="A11">
        <v>4187.45</v>
      </c>
      <c r="B11">
        <v>34.950000000000003</v>
      </c>
      <c r="C11">
        <v>3096.33</v>
      </c>
      <c r="D11">
        <v>62.35</v>
      </c>
    </row>
    <row r="12" spans="1:13" x14ac:dyDescent="0.3">
      <c r="A12">
        <v>6837.66</v>
      </c>
      <c r="B12">
        <v>40.9</v>
      </c>
      <c r="C12">
        <v>5096.8100000000004</v>
      </c>
      <c r="D12">
        <v>50.53</v>
      </c>
    </row>
    <row r="13" spans="1:13" x14ac:dyDescent="0.3">
      <c r="A13">
        <v>4299.4399999999996</v>
      </c>
      <c r="B13">
        <v>42.07</v>
      </c>
      <c r="C13">
        <v>3359.86</v>
      </c>
      <c r="D13">
        <v>48.9</v>
      </c>
    </row>
    <row r="14" spans="1:13" x14ac:dyDescent="0.3">
      <c r="A14">
        <v>5479.54</v>
      </c>
      <c r="B14">
        <v>44.57</v>
      </c>
      <c r="C14">
        <v>4412.22</v>
      </c>
      <c r="D14">
        <v>42.9</v>
      </c>
    </row>
    <row r="15" spans="1:13" x14ac:dyDescent="0.3">
      <c r="A15">
        <v>3754.73</v>
      </c>
      <c r="B15">
        <v>32.54</v>
      </c>
      <c r="C15">
        <v>3124.12</v>
      </c>
      <c r="D15">
        <v>46.28</v>
      </c>
    </row>
    <row r="16" spans="1:13" x14ac:dyDescent="0.3">
      <c r="A16">
        <v>4510.9399999999996</v>
      </c>
      <c r="B16">
        <v>22.17</v>
      </c>
      <c r="C16">
        <v>3332.53</v>
      </c>
      <c r="D16">
        <v>47.71</v>
      </c>
    </row>
    <row r="17" spans="1:4" x14ac:dyDescent="0.3">
      <c r="A17">
        <v>3441.54</v>
      </c>
      <c r="B17">
        <v>48.19</v>
      </c>
      <c r="C17">
        <v>2893.73</v>
      </c>
      <c r="D17">
        <v>141.75</v>
      </c>
    </row>
    <row r="18" spans="1:4" x14ac:dyDescent="0.3">
      <c r="A18">
        <v>7301.34</v>
      </c>
      <c r="B18">
        <v>41.01</v>
      </c>
      <c r="C18">
        <v>4893.59</v>
      </c>
      <c r="D18">
        <v>30.52</v>
      </c>
    </row>
    <row r="19" spans="1:4" x14ac:dyDescent="0.3">
      <c r="A19">
        <v>4262.1400000000003</v>
      </c>
      <c r="B19">
        <v>41.62</v>
      </c>
      <c r="C19">
        <v>2574.4699999999998</v>
      </c>
      <c r="D19">
        <v>58.36</v>
      </c>
    </row>
    <row r="20" spans="1:4" x14ac:dyDescent="0.3">
      <c r="A20">
        <v>6700.7</v>
      </c>
      <c r="B20">
        <v>51.7</v>
      </c>
      <c r="C20">
        <v>3847.78</v>
      </c>
      <c r="D20">
        <v>47.65</v>
      </c>
    </row>
    <row r="21" spans="1:4" x14ac:dyDescent="0.3">
      <c r="A21">
        <v>3572.59</v>
      </c>
      <c r="B21">
        <v>52.47</v>
      </c>
      <c r="C21">
        <v>1876.52</v>
      </c>
      <c r="D21">
        <v>25.43</v>
      </c>
    </row>
    <row r="22" spans="1:4" x14ac:dyDescent="0.3">
      <c r="A22">
        <v>5021.05</v>
      </c>
      <c r="B22">
        <v>31.19</v>
      </c>
      <c r="C22">
        <v>4444.99</v>
      </c>
      <c r="D22">
        <v>85.39</v>
      </c>
    </row>
    <row r="23" spans="1:4" x14ac:dyDescent="0.3">
      <c r="A23">
        <v>4341.1000000000004</v>
      </c>
      <c r="B23">
        <v>52.09</v>
      </c>
      <c r="C23">
        <v>3120.49</v>
      </c>
      <c r="D23">
        <v>122.35</v>
      </c>
    </row>
    <row r="24" spans="1:4" x14ac:dyDescent="0.3">
      <c r="A24">
        <v>6343.81</v>
      </c>
      <c r="B24">
        <v>41.45</v>
      </c>
      <c r="C24">
        <v>4116.9799999999996</v>
      </c>
      <c r="D24">
        <v>56.62</v>
      </c>
    </row>
    <row r="25" spans="1:4" x14ac:dyDescent="0.3">
      <c r="A25">
        <v>4579.49</v>
      </c>
      <c r="B25">
        <v>49.75</v>
      </c>
      <c r="C25">
        <v>3224.11</v>
      </c>
      <c r="D25">
        <v>111.13</v>
      </c>
    </row>
    <row r="26" spans="1:4" x14ac:dyDescent="0.3">
      <c r="A26">
        <v>5577.8</v>
      </c>
      <c r="B26">
        <v>30.46</v>
      </c>
      <c r="C26">
        <v>4940.78</v>
      </c>
      <c r="D26">
        <v>93.5</v>
      </c>
    </row>
    <row r="27" spans="1:4" x14ac:dyDescent="0.3">
      <c r="A27">
        <v>3185.58</v>
      </c>
      <c r="B27">
        <v>32.33</v>
      </c>
      <c r="C27">
        <v>2076.92</v>
      </c>
      <c r="D27">
        <v>61.31</v>
      </c>
    </row>
    <row r="28" spans="1:4" x14ac:dyDescent="0.3">
      <c r="A28">
        <v>5200.22</v>
      </c>
      <c r="B28">
        <v>52.08</v>
      </c>
      <c r="C28">
        <v>4822.32</v>
      </c>
      <c r="D28">
        <v>51.41</v>
      </c>
    </row>
    <row r="29" spans="1:4" x14ac:dyDescent="0.3">
      <c r="A29">
        <v>4227.05</v>
      </c>
      <c r="B29">
        <v>49.62</v>
      </c>
      <c r="C29">
        <v>2767.48</v>
      </c>
      <c r="D29">
        <v>53.63</v>
      </c>
    </row>
    <row r="30" spans="1:4" x14ac:dyDescent="0.3">
      <c r="A30">
        <v>4937.07</v>
      </c>
      <c r="B30">
        <v>48.97</v>
      </c>
      <c r="C30">
        <v>4649.93</v>
      </c>
      <c r="D30">
        <v>47.93</v>
      </c>
    </row>
    <row r="31" spans="1:4" x14ac:dyDescent="0.3">
      <c r="A31">
        <v>3877.64</v>
      </c>
      <c r="B31">
        <v>36.47</v>
      </c>
      <c r="C31">
        <v>2811.92</v>
      </c>
      <c r="D31">
        <v>47.23</v>
      </c>
    </row>
    <row r="32" spans="1:4" x14ac:dyDescent="0.3">
      <c r="A32">
        <v>7670.97</v>
      </c>
      <c r="B32">
        <v>45.46</v>
      </c>
      <c r="C32">
        <v>4557.25</v>
      </c>
      <c r="D32">
        <v>60.17</v>
      </c>
    </row>
    <row r="33" spans="1:4" x14ac:dyDescent="0.3">
      <c r="A33">
        <v>3967.98</v>
      </c>
      <c r="B33">
        <v>42.04</v>
      </c>
      <c r="C33">
        <v>3151.49</v>
      </c>
      <c r="D33">
        <v>103.15</v>
      </c>
    </row>
    <row r="34" spans="1:4" x14ac:dyDescent="0.3">
      <c r="A34">
        <v>5083.24</v>
      </c>
      <c r="B34">
        <v>44.03</v>
      </c>
      <c r="C34">
        <v>4462.17</v>
      </c>
      <c r="D34">
        <v>86.02</v>
      </c>
    </row>
    <row r="35" spans="1:4" x14ac:dyDescent="0.3">
      <c r="A35">
        <v>4962.55</v>
      </c>
      <c r="B35">
        <v>46.02</v>
      </c>
      <c r="C35">
        <v>1937.17</v>
      </c>
      <c r="D35">
        <v>29.53</v>
      </c>
    </row>
    <row r="36" spans="1:4" x14ac:dyDescent="0.3">
      <c r="A36">
        <v>4902.12</v>
      </c>
      <c r="B36">
        <v>44.13</v>
      </c>
      <c r="C36">
        <v>4573.1499999999996</v>
      </c>
      <c r="D36">
        <v>52.7</v>
      </c>
    </row>
    <row r="37" spans="1:4" x14ac:dyDescent="0.3">
      <c r="A37">
        <v>3354.31</v>
      </c>
      <c r="B37">
        <v>31.95</v>
      </c>
      <c r="C37">
        <v>3126.39</v>
      </c>
      <c r="D37">
        <v>52.58</v>
      </c>
    </row>
    <row r="38" spans="1:4" x14ac:dyDescent="0.3">
      <c r="A38">
        <v>5016.47</v>
      </c>
      <c r="B38">
        <v>39.520000000000003</v>
      </c>
      <c r="C38">
        <v>4166.51</v>
      </c>
      <c r="D38">
        <v>29.47</v>
      </c>
    </row>
    <row r="39" spans="1:4" x14ac:dyDescent="0.3">
      <c r="A39">
        <v>4050.08</v>
      </c>
      <c r="B39">
        <v>52.37</v>
      </c>
      <c r="C39">
        <v>3122.05</v>
      </c>
      <c r="D39">
        <v>52.41</v>
      </c>
    </row>
    <row r="40" spans="1:4" x14ac:dyDescent="0.3">
      <c r="A40">
        <v>7769.35</v>
      </c>
      <c r="B40">
        <v>42.21</v>
      </c>
      <c r="C40">
        <v>4622.09</v>
      </c>
      <c r="D40">
        <v>43.93</v>
      </c>
    </row>
    <row r="41" spans="1:4" x14ac:dyDescent="0.3">
      <c r="A41">
        <v>3740.14</v>
      </c>
      <c r="B41">
        <v>30.74</v>
      </c>
      <c r="C41">
        <v>2251.31</v>
      </c>
      <c r="D41">
        <v>76.290000000000006</v>
      </c>
    </row>
    <row r="42" spans="1:4" x14ac:dyDescent="0.3">
      <c r="A42">
        <v>7343.24</v>
      </c>
      <c r="B42">
        <v>27.06</v>
      </c>
      <c r="C42">
        <v>4393.62</v>
      </c>
      <c r="D42">
        <v>53.07</v>
      </c>
    </row>
    <row r="43" spans="1:4" x14ac:dyDescent="0.3">
      <c r="A43">
        <v>4350.8</v>
      </c>
      <c r="B43">
        <v>49.48</v>
      </c>
      <c r="C43">
        <v>3164.86</v>
      </c>
      <c r="D43">
        <v>61.03</v>
      </c>
    </row>
    <row r="44" spans="1:4" x14ac:dyDescent="0.3">
      <c r="A44">
        <v>5328.77</v>
      </c>
      <c r="B44">
        <v>45.58</v>
      </c>
      <c r="C44">
        <v>4694.12</v>
      </c>
      <c r="D44">
        <v>52.6</v>
      </c>
    </row>
    <row r="45" spans="1:4" x14ac:dyDescent="0.3">
      <c r="A45">
        <v>5127.1099999999997</v>
      </c>
      <c r="B45">
        <v>37.07</v>
      </c>
      <c r="C45">
        <v>2937.78</v>
      </c>
      <c r="D45">
        <v>51.19</v>
      </c>
    </row>
    <row r="46" spans="1:4" x14ac:dyDescent="0.3">
      <c r="A46">
        <v>5446.89</v>
      </c>
      <c r="B46">
        <v>27.6</v>
      </c>
      <c r="C46">
        <v>3901.49</v>
      </c>
      <c r="D46">
        <v>64.209999999999994</v>
      </c>
    </row>
    <row r="47" spans="1:4" x14ac:dyDescent="0.3">
      <c r="A47">
        <v>3910.19</v>
      </c>
      <c r="B47">
        <v>38.090000000000003</v>
      </c>
      <c r="C47">
        <v>3021.04</v>
      </c>
      <c r="D47">
        <v>42.73</v>
      </c>
    </row>
    <row r="48" spans="1:4" x14ac:dyDescent="0.3">
      <c r="A48">
        <v>5557.08</v>
      </c>
      <c r="B48">
        <v>29.87</v>
      </c>
      <c r="C48">
        <v>4803.7299999999996</v>
      </c>
      <c r="D48">
        <v>49.48</v>
      </c>
    </row>
    <row r="49" spans="1:4" x14ac:dyDescent="0.3">
      <c r="A49">
        <v>3661.72</v>
      </c>
      <c r="B49">
        <v>33.61</v>
      </c>
      <c r="C49">
        <v>2632.89</v>
      </c>
      <c r="D49">
        <v>63.54</v>
      </c>
    </row>
    <row r="50" spans="1:4" x14ac:dyDescent="0.3">
      <c r="A50">
        <v>5821.69</v>
      </c>
      <c r="B50">
        <v>66.959999999999994</v>
      </c>
      <c r="C50">
        <v>4850.88</v>
      </c>
      <c r="D50">
        <v>64.989999999999995</v>
      </c>
    </row>
    <row r="51" spans="1:4" x14ac:dyDescent="0.3">
      <c r="A51">
        <v>3494.34</v>
      </c>
      <c r="B51">
        <v>24.86</v>
      </c>
      <c r="C51">
        <v>2539.0100000000002</v>
      </c>
      <c r="D51">
        <v>59.53</v>
      </c>
    </row>
    <row r="52" spans="1:4" x14ac:dyDescent="0.3">
      <c r="A52">
        <v>5436.84</v>
      </c>
      <c r="B52">
        <v>34.94</v>
      </c>
      <c r="C52">
        <v>4134.43</v>
      </c>
      <c r="D52">
        <v>47.63</v>
      </c>
    </row>
    <row r="53" spans="1:4" x14ac:dyDescent="0.3">
      <c r="A53">
        <v>3903.51</v>
      </c>
      <c r="B53">
        <v>40.1</v>
      </c>
      <c r="C53">
        <v>2731.28</v>
      </c>
      <c r="D53">
        <v>47.65</v>
      </c>
    </row>
    <row r="54" spans="1:4" x14ac:dyDescent="0.3">
      <c r="A54">
        <v>6916.02</v>
      </c>
      <c r="B54">
        <v>38.01</v>
      </c>
      <c r="C54">
        <v>4403.2</v>
      </c>
      <c r="D54">
        <v>26.65</v>
      </c>
    </row>
    <row r="55" spans="1:4" x14ac:dyDescent="0.3">
      <c r="A55">
        <v>4017.69</v>
      </c>
      <c r="B55">
        <v>43.32</v>
      </c>
      <c r="C55">
        <v>2322.6999999999998</v>
      </c>
      <c r="D55">
        <v>29.69</v>
      </c>
    </row>
    <row r="56" spans="1:4" x14ac:dyDescent="0.3">
      <c r="A56">
        <v>7234.7</v>
      </c>
      <c r="B56">
        <v>64.25</v>
      </c>
      <c r="C56">
        <v>3968.6</v>
      </c>
      <c r="D56">
        <v>60.25</v>
      </c>
    </row>
    <row r="57" spans="1:4" x14ac:dyDescent="0.3">
      <c r="A57">
        <v>3721.3</v>
      </c>
      <c r="B57">
        <v>40.159999999999997</v>
      </c>
      <c r="C57">
        <v>2745.68</v>
      </c>
      <c r="D57">
        <v>49.04</v>
      </c>
    </row>
    <row r="58" spans="1:4" x14ac:dyDescent="0.3">
      <c r="A58">
        <v>7171.08</v>
      </c>
      <c r="B58">
        <v>43.09</v>
      </c>
      <c r="C58">
        <v>4279.78</v>
      </c>
      <c r="D58">
        <v>59.83</v>
      </c>
    </row>
    <row r="59" spans="1:4" x14ac:dyDescent="0.3">
      <c r="A59">
        <v>3622.71</v>
      </c>
      <c r="B59">
        <v>32.299999999999997</v>
      </c>
      <c r="C59">
        <v>2732.98</v>
      </c>
      <c r="D59">
        <v>59.92</v>
      </c>
    </row>
    <row r="60" spans="1:4" x14ac:dyDescent="0.3">
      <c r="A60">
        <v>5646.98</v>
      </c>
      <c r="B60">
        <v>35.21</v>
      </c>
      <c r="C60">
        <v>4383.79</v>
      </c>
      <c r="D60">
        <v>50.47</v>
      </c>
    </row>
    <row r="61" spans="1:4" x14ac:dyDescent="0.3">
      <c r="A61">
        <v>3668.26</v>
      </c>
      <c r="B61">
        <v>35.71</v>
      </c>
      <c r="C61">
        <v>2951.4</v>
      </c>
      <c r="D61">
        <v>54.82</v>
      </c>
    </row>
    <row r="62" spans="1:4" x14ac:dyDescent="0.3">
      <c r="A62">
        <v>5271.78</v>
      </c>
      <c r="B62">
        <v>45.85</v>
      </c>
      <c r="C62">
        <v>4089.81</v>
      </c>
      <c r="D62">
        <v>29.59</v>
      </c>
    </row>
    <row r="63" spans="1:4" x14ac:dyDescent="0.3">
      <c r="A63">
        <v>4334.07</v>
      </c>
      <c r="B63">
        <v>67.92</v>
      </c>
      <c r="C63">
        <v>3470.21</v>
      </c>
      <c r="D63">
        <v>49.41</v>
      </c>
    </row>
    <row r="64" spans="1:4" x14ac:dyDescent="0.3">
      <c r="A64">
        <v>5900.28</v>
      </c>
      <c r="B64">
        <v>21.81</v>
      </c>
      <c r="C64">
        <v>3919.55</v>
      </c>
      <c r="D64">
        <v>53.16</v>
      </c>
    </row>
    <row r="65" spans="1:4" x14ac:dyDescent="0.3">
      <c r="A65">
        <v>3615.75</v>
      </c>
      <c r="B65">
        <v>33.86</v>
      </c>
      <c r="C65">
        <v>2795.64</v>
      </c>
      <c r="D65">
        <v>58.36</v>
      </c>
    </row>
    <row r="66" spans="1:4" x14ac:dyDescent="0.3">
      <c r="A66">
        <v>4349.7700000000004</v>
      </c>
      <c r="B66">
        <v>27.32</v>
      </c>
      <c r="C66">
        <v>4156.2700000000004</v>
      </c>
      <c r="D66">
        <v>32.26</v>
      </c>
    </row>
    <row r="67" spans="1:4" x14ac:dyDescent="0.3">
      <c r="A67">
        <v>2700.62</v>
      </c>
      <c r="B67">
        <v>25.86</v>
      </c>
      <c r="C67">
        <v>2384.46</v>
      </c>
      <c r="D67">
        <v>36.229999999999997</v>
      </c>
    </row>
    <row r="68" spans="1:4" x14ac:dyDescent="0.3">
      <c r="A68">
        <v>5841.02</v>
      </c>
      <c r="B68">
        <v>31.69</v>
      </c>
      <c r="C68">
        <v>3425.6</v>
      </c>
      <c r="D68">
        <v>46.16</v>
      </c>
    </row>
    <row r="69" spans="1:4" x14ac:dyDescent="0.3">
      <c r="A69">
        <v>3517.21</v>
      </c>
      <c r="B69">
        <v>28.77</v>
      </c>
      <c r="C69">
        <v>2111.44</v>
      </c>
      <c r="D69">
        <v>130.75</v>
      </c>
    </row>
    <row r="70" spans="1:4" x14ac:dyDescent="0.3">
      <c r="A70">
        <v>4222.49</v>
      </c>
      <c r="B70">
        <v>26.87</v>
      </c>
      <c r="C70">
        <v>3669.99</v>
      </c>
      <c r="D70">
        <v>37.56</v>
      </c>
    </row>
    <row r="71" spans="1:4" x14ac:dyDescent="0.3">
      <c r="A71">
        <v>3295.67</v>
      </c>
      <c r="B71">
        <v>54.63</v>
      </c>
      <c r="C71">
        <v>2533.46</v>
      </c>
      <c r="D71">
        <v>71.569999999999993</v>
      </c>
    </row>
    <row r="72" spans="1:4" x14ac:dyDescent="0.3">
      <c r="A72">
        <v>6819.84</v>
      </c>
      <c r="B72">
        <v>46.31</v>
      </c>
      <c r="C72">
        <v>4849.99</v>
      </c>
      <c r="D72">
        <v>46.41</v>
      </c>
    </row>
    <row r="73" spans="1:4" x14ac:dyDescent="0.3">
      <c r="A73">
        <v>4368.32</v>
      </c>
      <c r="B73">
        <v>31.67</v>
      </c>
      <c r="C73">
        <v>3177.58</v>
      </c>
      <c r="D73">
        <v>50.22</v>
      </c>
    </row>
    <row r="74" spans="1:4" x14ac:dyDescent="0.3">
      <c r="A74">
        <v>4992.21</v>
      </c>
      <c r="B74">
        <v>25.61</v>
      </c>
      <c r="C74">
        <v>4352.3</v>
      </c>
      <c r="D74">
        <v>86.03</v>
      </c>
    </row>
    <row r="75" spans="1:4" x14ac:dyDescent="0.3">
      <c r="A75">
        <v>4300.78</v>
      </c>
      <c r="B75">
        <v>40.869999999999997</v>
      </c>
      <c r="C75">
        <v>3009.21</v>
      </c>
      <c r="D75">
        <v>52.82</v>
      </c>
    </row>
    <row r="76" spans="1:4" x14ac:dyDescent="0.3">
      <c r="A76">
        <v>8649.73</v>
      </c>
      <c r="B76">
        <v>54.11</v>
      </c>
      <c r="C76">
        <v>7290.44</v>
      </c>
      <c r="D76">
        <v>93.14</v>
      </c>
    </row>
    <row r="77" spans="1:4" x14ac:dyDescent="0.3">
      <c r="A77">
        <v>4500.67</v>
      </c>
      <c r="B77">
        <v>53.64</v>
      </c>
      <c r="C77">
        <v>3099.74</v>
      </c>
      <c r="D77">
        <v>50.82</v>
      </c>
    </row>
    <row r="78" spans="1:4" x14ac:dyDescent="0.3">
      <c r="A78">
        <v>5907.08</v>
      </c>
      <c r="B78">
        <v>46.04</v>
      </c>
      <c r="C78">
        <v>4800.54</v>
      </c>
      <c r="D78">
        <v>47.57</v>
      </c>
    </row>
    <row r="79" spans="1:4" x14ac:dyDescent="0.3">
      <c r="A79">
        <v>3965.62</v>
      </c>
      <c r="B79">
        <v>54.2</v>
      </c>
      <c r="C79">
        <v>2606.9499999999998</v>
      </c>
      <c r="D79">
        <v>29.44</v>
      </c>
    </row>
    <row r="80" spans="1:4" x14ac:dyDescent="0.3">
      <c r="A80">
        <v>4667.1099999999997</v>
      </c>
      <c r="B80">
        <v>41.49</v>
      </c>
      <c r="C80">
        <v>4614.26</v>
      </c>
      <c r="D80">
        <v>74.599999999999994</v>
      </c>
    </row>
    <row r="81" spans="1:4" x14ac:dyDescent="0.3">
      <c r="A81">
        <v>4060.88</v>
      </c>
      <c r="B81">
        <v>35.270000000000003</v>
      </c>
      <c r="C81">
        <v>2536.64</v>
      </c>
      <c r="D81">
        <v>49.27</v>
      </c>
    </row>
    <row r="82" spans="1:4" x14ac:dyDescent="0.3">
      <c r="A82">
        <v>5836.96</v>
      </c>
      <c r="B82">
        <v>56.3</v>
      </c>
      <c r="C82">
        <v>3511.54</v>
      </c>
      <c r="D82">
        <v>142.62</v>
      </c>
    </row>
    <row r="83" spans="1:4" x14ac:dyDescent="0.3">
      <c r="A83">
        <v>6263.75</v>
      </c>
      <c r="B83">
        <v>47.12</v>
      </c>
      <c r="C83">
        <v>2286.4899999999998</v>
      </c>
      <c r="D83">
        <v>251.54</v>
      </c>
    </row>
    <row r="84" spans="1:4" x14ac:dyDescent="0.3">
      <c r="A84">
        <v>9199.66</v>
      </c>
      <c r="B84">
        <v>83.61</v>
      </c>
      <c r="C84">
        <v>7596.55</v>
      </c>
      <c r="D84">
        <v>46.82</v>
      </c>
    </row>
    <row r="85" spans="1:4" x14ac:dyDescent="0.3">
      <c r="A85">
        <v>7874.06</v>
      </c>
      <c r="B85">
        <v>69.56</v>
      </c>
      <c r="C85">
        <v>3452.43</v>
      </c>
      <c r="D85">
        <v>82.37</v>
      </c>
    </row>
    <row r="86" spans="1:4" x14ac:dyDescent="0.3">
      <c r="A86">
        <v>11143.46</v>
      </c>
      <c r="B86">
        <v>38.42</v>
      </c>
      <c r="C86">
        <v>4406.3900000000003</v>
      </c>
      <c r="D86">
        <v>41.5</v>
      </c>
    </row>
    <row r="87" spans="1:4" x14ac:dyDescent="0.3">
      <c r="A87">
        <v>6132.09</v>
      </c>
      <c r="B87">
        <v>63.59</v>
      </c>
      <c r="C87">
        <v>3165.98</v>
      </c>
      <c r="D87">
        <v>59.7</v>
      </c>
    </row>
    <row r="88" spans="1:4" x14ac:dyDescent="0.3">
      <c r="A88">
        <v>7068.24</v>
      </c>
      <c r="B88">
        <v>52.5</v>
      </c>
      <c r="C88">
        <v>10494.26</v>
      </c>
      <c r="D88">
        <v>50.05</v>
      </c>
    </row>
    <row r="89" spans="1:4" x14ac:dyDescent="0.3">
      <c r="A89">
        <v>5562.54</v>
      </c>
      <c r="B89">
        <v>73.8</v>
      </c>
      <c r="C89">
        <v>7074.86</v>
      </c>
      <c r="D89">
        <v>59.58</v>
      </c>
    </row>
    <row r="90" spans="1:4" x14ac:dyDescent="0.3">
      <c r="A90">
        <v>7283.78</v>
      </c>
      <c r="B90">
        <v>47.89</v>
      </c>
      <c r="C90">
        <v>5663.83</v>
      </c>
      <c r="D90">
        <v>34.119999999999997</v>
      </c>
    </row>
    <row r="91" spans="1:4" x14ac:dyDescent="0.3">
      <c r="A91">
        <v>11845.96</v>
      </c>
      <c r="B91">
        <v>50.11</v>
      </c>
      <c r="C91">
        <v>2336.48</v>
      </c>
      <c r="D91">
        <v>56.16</v>
      </c>
    </row>
    <row r="92" spans="1:4" x14ac:dyDescent="0.3">
      <c r="A92">
        <v>6751.7</v>
      </c>
      <c r="B92">
        <v>67.569999999999993</v>
      </c>
      <c r="C92">
        <v>5823.68</v>
      </c>
      <c r="D92">
        <v>92.08</v>
      </c>
    </row>
    <row r="93" spans="1:4" x14ac:dyDescent="0.3">
      <c r="A93">
        <v>9917.2999999999993</v>
      </c>
      <c r="B93">
        <v>42.55</v>
      </c>
      <c r="C93">
        <v>2652.33</v>
      </c>
      <c r="D93">
        <v>59.37</v>
      </c>
    </row>
    <row r="94" spans="1:4" x14ac:dyDescent="0.3">
      <c r="A94">
        <v>9723.59</v>
      </c>
      <c r="B94">
        <v>56.79</v>
      </c>
      <c r="C94">
        <v>7114.05</v>
      </c>
      <c r="D94">
        <v>77.78</v>
      </c>
    </row>
    <row r="95" spans="1:4" x14ac:dyDescent="0.3">
      <c r="A95">
        <v>9745.89</v>
      </c>
      <c r="B95">
        <v>52.44</v>
      </c>
      <c r="C95">
        <v>3452.49</v>
      </c>
      <c r="D95">
        <v>823.71</v>
      </c>
    </row>
    <row r="96" spans="1:4" x14ac:dyDescent="0.3">
      <c r="A96">
        <v>7410.09</v>
      </c>
      <c r="B96">
        <v>81.11</v>
      </c>
      <c r="C96">
        <v>6849.77</v>
      </c>
      <c r="D96">
        <v>52.57</v>
      </c>
    </row>
    <row r="97" spans="1:4" x14ac:dyDescent="0.3">
      <c r="A97">
        <v>7397.47</v>
      </c>
      <c r="B97">
        <v>67.790000000000006</v>
      </c>
      <c r="C97">
        <v>3742.52</v>
      </c>
      <c r="D97">
        <v>56.72</v>
      </c>
    </row>
    <row r="98" spans="1:4" x14ac:dyDescent="0.3">
      <c r="A98">
        <v>9377.76</v>
      </c>
      <c r="B98">
        <v>75.88</v>
      </c>
      <c r="C98">
        <v>7531.8</v>
      </c>
      <c r="D98">
        <v>108.68</v>
      </c>
    </row>
    <row r="99" spans="1:4" x14ac:dyDescent="0.3">
      <c r="A99">
        <v>7845.13</v>
      </c>
      <c r="B99">
        <v>46.09</v>
      </c>
      <c r="C99">
        <v>4203.68</v>
      </c>
      <c r="D99">
        <v>92.61</v>
      </c>
    </row>
    <row r="100" spans="1:4" x14ac:dyDescent="0.3">
      <c r="A100">
        <v>8976.8799999999992</v>
      </c>
      <c r="B100">
        <v>44.85</v>
      </c>
      <c r="C100">
        <v>5315.09</v>
      </c>
      <c r="D100">
        <v>113.8</v>
      </c>
    </row>
    <row r="101" spans="1:4" x14ac:dyDescent="0.3">
      <c r="A101">
        <v>9902.01</v>
      </c>
      <c r="B101">
        <v>72.47</v>
      </c>
      <c r="C101">
        <v>3323.61</v>
      </c>
      <c r="D101">
        <v>134.9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CF1A-1471-4EE6-ABF3-8D1E1614CAE8}">
  <dimension ref="A1:M101"/>
  <sheetViews>
    <sheetView workbookViewId="0">
      <selection activeCell="M17" sqref="M17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7073.1</v>
      </c>
      <c r="B2">
        <v>52.58</v>
      </c>
      <c r="C2">
        <v>5027.7700000000004</v>
      </c>
      <c r="D2">
        <v>45.24</v>
      </c>
      <c r="H2" t="s">
        <v>19</v>
      </c>
      <c r="I2" s="4">
        <f>AVERAGE(A$2:A$101)</f>
        <v>5857.0552999999991</v>
      </c>
      <c r="J2" s="4">
        <f>AVERAGE(B$2:B$101)</f>
        <v>43.089700000000001</v>
      </c>
      <c r="K2" s="4">
        <f>AVERAGE(C$2:C$101)</f>
        <v>4090.3061999999986</v>
      </c>
      <c r="L2" s="4">
        <f t="shared" ref="L2" si="0">AVERAGE(D$2:D$101)</f>
        <v>69.700999999999979</v>
      </c>
      <c r="M2" s="4"/>
    </row>
    <row r="3" spans="1:13" x14ac:dyDescent="0.3">
      <c r="A3">
        <v>3842.83</v>
      </c>
      <c r="B3">
        <v>37.51</v>
      </c>
      <c r="C3">
        <v>3390.48</v>
      </c>
      <c r="D3">
        <v>92.46</v>
      </c>
      <c r="H3" t="s">
        <v>17</v>
      </c>
      <c r="I3" s="4">
        <f>MEDIAN(A$2:A$101)</f>
        <v>5968.57</v>
      </c>
      <c r="J3" s="4">
        <f t="shared" ref="J3:L3" si="1">MEDIAN(B$2:B$101)</f>
        <v>41.620000000000005</v>
      </c>
      <c r="K3" s="4">
        <f t="shared" si="1"/>
        <v>3567.26</v>
      </c>
      <c r="L3" s="4">
        <f t="shared" si="1"/>
        <v>54.424999999999997</v>
      </c>
      <c r="M3" s="4"/>
    </row>
    <row r="4" spans="1:13" x14ac:dyDescent="0.3">
      <c r="A4">
        <v>7733.23</v>
      </c>
      <c r="B4">
        <v>43.42</v>
      </c>
      <c r="C4">
        <v>5268.88</v>
      </c>
      <c r="D4">
        <v>73.64</v>
      </c>
      <c r="H4" t="s">
        <v>18</v>
      </c>
      <c r="I4" s="4">
        <f>_xlfn.STDEV.S(A$2:A$101)</f>
        <v>1922.990748040512</v>
      </c>
      <c r="J4" s="4">
        <f t="shared" ref="J4:L4" si="2">_xlfn.STDEV.S(B$2:B$101)</f>
        <v>13.834073616920787</v>
      </c>
      <c r="K4" s="4">
        <f t="shared" si="2"/>
        <v>1794.9975549021271</v>
      </c>
      <c r="L4" s="4">
        <f t="shared" si="2"/>
        <v>49.50483428082272</v>
      </c>
      <c r="M4" s="4"/>
    </row>
    <row r="5" spans="1:13" x14ac:dyDescent="0.3">
      <c r="A5">
        <v>3815.48</v>
      </c>
      <c r="B5">
        <v>54.13</v>
      </c>
      <c r="C5">
        <v>3422.61</v>
      </c>
      <c r="D5">
        <v>76.599999999999994</v>
      </c>
    </row>
    <row r="6" spans="1:13" x14ac:dyDescent="0.3">
      <c r="A6">
        <v>7798.25</v>
      </c>
      <c r="B6">
        <v>54.21</v>
      </c>
      <c r="C6">
        <v>4422.3500000000004</v>
      </c>
      <c r="D6">
        <v>219.53</v>
      </c>
    </row>
    <row r="7" spans="1:13" x14ac:dyDescent="0.3">
      <c r="A7">
        <v>4332.54</v>
      </c>
      <c r="B7">
        <v>55.53</v>
      </c>
      <c r="C7">
        <v>2875.44</v>
      </c>
      <c r="D7">
        <v>27.29</v>
      </c>
    </row>
    <row r="8" spans="1:13" x14ac:dyDescent="0.3">
      <c r="A8">
        <v>7526</v>
      </c>
      <c r="B8">
        <v>41.63</v>
      </c>
      <c r="C8">
        <v>4809.04</v>
      </c>
      <c r="D8">
        <v>50.89</v>
      </c>
    </row>
    <row r="9" spans="1:13" x14ac:dyDescent="0.3">
      <c r="A9">
        <v>4338.33</v>
      </c>
      <c r="B9">
        <v>47.34</v>
      </c>
      <c r="C9">
        <v>3376.38</v>
      </c>
      <c r="D9">
        <v>79.260000000000005</v>
      </c>
    </row>
    <row r="10" spans="1:13" x14ac:dyDescent="0.3">
      <c r="A10">
        <v>6888.79</v>
      </c>
      <c r="B10">
        <v>56.19</v>
      </c>
      <c r="C10">
        <v>4280.1899999999996</v>
      </c>
      <c r="D10">
        <v>48.2</v>
      </c>
    </row>
    <row r="11" spans="1:13" x14ac:dyDescent="0.3">
      <c r="A11">
        <v>3793.72</v>
      </c>
      <c r="B11">
        <v>26.06</v>
      </c>
      <c r="C11">
        <v>3373.08</v>
      </c>
      <c r="D11">
        <v>161.27000000000001</v>
      </c>
    </row>
    <row r="12" spans="1:13" x14ac:dyDescent="0.3">
      <c r="A12">
        <v>7291.31</v>
      </c>
      <c r="B12">
        <v>44.51</v>
      </c>
      <c r="C12">
        <v>5160.1499999999996</v>
      </c>
      <c r="D12">
        <v>42.03</v>
      </c>
    </row>
    <row r="13" spans="1:13" x14ac:dyDescent="0.3">
      <c r="A13">
        <v>4828.25</v>
      </c>
      <c r="B13">
        <v>43.51</v>
      </c>
      <c r="C13">
        <v>3364.64</v>
      </c>
      <c r="D13">
        <v>67.010000000000005</v>
      </c>
    </row>
    <row r="14" spans="1:13" x14ac:dyDescent="0.3">
      <c r="A14">
        <v>8017.77</v>
      </c>
      <c r="B14">
        <v>33.340000000000003</v>
      </c>
      <c r="C14">
        <v>4396.82</v>
      </c>
      <c r="D14">
        <v>55.61</v>
      </c>
    </row>
    <row r="15" spans="1:13" x14ac:dyDescent="0.3">
      <c r="A15">
        <v>4737.6899999999996</v>
      </c>
      <c r="B15">
        <v>43.66</v>
      </c>
      <c r="C15">
        <v>3389.28</v>
      </c>
      <c r="D15">
        <v>49.85</v>
      </c>
    </row>
    <row r="16" spans="1:13" x14ac:dyDescent="0.3">
      <c r="A16">
        <v>7089.44</v>
      </c>
      <c r="B16">
        <v>40.36</v>
      </c>
      <c r="C16">
        <v>4256.7700000000004</v>
      </c>
      <c r="D16">
        <v>49.84</v>
      </c>
    </row>
    <row r="17" spans="1:4" x14ac:dyDescent="0.3">
      <c r="A17">
        <v>3831.26</v>
      </c>
      <c r="B17">
        <v>40.35</v>
      </c>
      <c r="C17">
        <v>3009.03</v>
      </c>
      <c r="D17">
        <v>87.91</v>
      </c>
    </row>
    <row r="18" spans="1:4" x14ac:dyDescent="0.3">
      <c r="A18">
        <v>7520.97</v>
      </c>
      <c r="B18">
        <v>47.44</v>
      </c>
      <c r="C18">
        <v>4685.32</v>
      </c>
      <c r="D18">
        <v>37.24</v>
      </c>
    </row>
    <row r="19" spans="1:4" x14ac:dyDescent="0.3">
      <c r="A19">
        <v>4075.45</v>
      </c>
      <c r="B19">
        <v>48.43</v>
      </c>
      <c r="C19">
        <v>3104.84</v>
      </c>
      <c r="D19">
        <v>109.26</v>
      </c>
    </row>
    <row r="20" spans="1:4" x14ac:dyDescent="0.3">
      <c r="A20">
        <v>7181.06</v>
      </c>
      <c r="B20">
        <v>48.09</v>
      </c>
      <c r="C20">
        <v>3474.82</v>
      </c>
      <c r="D20">
        <v>27.92</v>
      </c>
    </row>
    <row r="21" spans="1:4" x14ac:dyDescent="0.3">
      <c r="A21">
        <v>3655.51</v>
      </c>
      <c r="B21">
        <v>30.5</v>
      </c>
      <c r="C21">
        <v>1757.86</v>
      </c>
      <c r="D21">
        <v>39.21</v>
      </c>
    </row>
    <row r="22" spans="1:4" x14ac:dyDescent="0.3">
      <c r="A22">
        <v>8031.49</v>
      </c>
      <c r="B22">
        <v>50.19</v>
      </c>
      <c r="C22">
        <v>4284.09</v>
      </c>
      <c r="D22">
        <v>82.2</v>
      </c>
    </row>
    <row r="23" spans="1:4" x14ac:dyDescent="0.3">
      <c r="A23">
        <v>3168.82</v>
      </c>
      <c r="B23">
        <v>34.869999999999997</v>
      </c>
      <c r="C23">
        <v>3014.97</v>
      </c>
      <c r="D23">
        <v>48.69</v>
      </c>
    </row>
    <row r="24" spans="1:4" x14ac:dyDescent="0.3">
      <c r="A24">
        <v>6697.5</v>
      </c>
      <c r="B24">
        <v>39.53</v>
      </c>
      <c r="C24">
        <v>4132.7</v>
      </c>
      <c r="D24">
        <v>54.8</v>
      </c>
    </row>
    <row r="25" spans="1:4" x14ac:dyDescent="0.3">
      <c r="A25">
        <v>3876.87</v>
      </c>
      <c r="B25">
        <v>34.53</v>
      </c>
      <c r="C25">
        <v>2622.55</v>
      </c>
      <c r="D25">
        <v>30.47</v>
      </c>
    </row>
    <row r="26" spans="1:4" x14ac:dyDescent="0.3">
      <c r="A26">
        <v>6809.19</v>
      </c>
      <c r="B26">
        <v>55.21</v>
      </c>
      <c r="C26">
        <v>3242.02</v>
      </c>
      <c r="D26">
        <v>46.4</v>
      </c>
    </row>
    <row r="27" spans="1:4" x14ac:dyDescent="0.3">
      <c r="A27">
        <v>4450.17</v>
      </c>
      <c r="B27">
        <v>56.15</v>
      </c>
      <c r="C27">
        <v>2829.36</v>
      </c>
      <c r="D27">
        <v>57.58</v>
      </c>
    </row>
    <row r="28" spans="1:4" x14ac:dyDescent="0.3">
      <c r="A28">
        <v>6595.78</v>
      </c>
      <c r="B28">
        <v>61.21</v>
      </c>
      <c r="C28">
        <v>4480.66</v>
      </c>
      <c r="D28">
        <v>54.36</v>
      </c>
    </row>
    <row r="29" spans="1:4" x14ac:dyDescent="0.3">
      <c r="A29">
        <v>3872.62</v>
      </c>
      <c r="B29">
        <v>36.06</v>
      </c>
      <c r="C29">
        <v>3128.81</v>
      </c>
      <c r="D29">
        <v>78.83</v>
      </c>
    </row>
    <row r="30" spans="1:4" x14ac:dyDescent="0.3">
      <c r="A30">
        <v>6218.48</v>
      </c>
      <c r="B30">
        <v>21.55</v>
      </c>
      <c r="C30">
        <v>4852.99</v>
      </c>
      <c r="D30">
        <v>53.76</v>
      </c>
    </row>
    <row r="31" spans="1:4" x14ac:dyDescent="0.3">
      <c r="A31">
        <v>4441.0200000000004</v>
      </c>
      <c r="B31">
        <v>68.05</v>
      </c>
      <c r="C31">
        <v>2847.72</v>
      </c>
      <c r="D31">
        <v>190.44</v>
      </c>
    </row>
    <row r="32" spans="1:4" x14ac:dyDescent="0.3">
      <c r="A32">
        <v>7517.21</v>
      </c>
      <c r="B32">
        <v>42.21</v>
      </c>
      <c r="C32">
        <v>5256.42</v>
      </c>
      <c r="D32">
        <v>51.74</v>
      </c>
    </row>
    <row r="33" spans="1:4" x14ac:dyDescent="0.3">
      <c r="A33">
        <v>3310.97</v>
      </c>
      <c r="B33">
        <v>46.83</v>
      </c>
      <c r="C33">
        <v>3102.18</v>
      </c>
      <c r="D33">
        <v>56.26</v>
      </c>
    </row>
    <row r="34" spans="1:4" x14ac:dyDescent="0.3">
      <c r="A34">
        <v>8030.98</v>
      </c>
      <c r="B34">
        <v>41.61</v>
      </c>
      <c r="C34">
        <v>4573.43</v>
      </c>
      <c r="D34">
        <v>28.46</v>
      </c>
    </row>
    <row r="35" spans="1:4" x14ac:dyDescent="0.3">
      <c r="A35">
        <v>3318.37</v>
      </c>
      <c r="B35">
        <v>58.13</v>
      </c>
      <c r="C35">
        <v>3244.89</v>
      </c>
      <c r="D35">
        <v>112.75</v>
      </c>
    </row>
    <row r="36" spans="1:4" x14ac:dyDescent="0.3">
      <c r="A36">
        <v>7017.54</v>
      </c>
      <c r="B36">
        <v>29.26</v>
      </c>
      <c r="C36">
        <v>3394.76</v>
      </c>
      <c r="D36">
        <v>32.92</v>
      </c>
    </row>
    <row r="37" spans="1:4" x14ac:dyDescent="0.3">
      <c r="A37">
        <v>4613.45</v>
      </c>
      <c r="B37">
        <v>64.680000000000007</v>
      </c>
      <c r="C37">
        <v>2834.78</v>
      </c>
      <c r="D37">
        <v>40.49</v>
      </c>
    </row>
    <row r="38" spans="1:4" x14ac:dyDescent="0.3">
      <c r="A38">
        <v>8068.53</v>
      </c>
      <c r="B38">
        <v>40.03</v>
      </c>
      <c r="C38">
        <v>4999.34</v>
      </c>
      <c r="D38">
        <v>69.19</v>
      </c>
    </row>
    <row r="39" spans="1:4" x14ac:dyDescent="0.3">
      <c r="A39">
        <v>3838.22</v>
      </c>
      <c r="B39">
        <v>54.61</v>
      </c>
      <c r="C39">
        <v>2587.64</v>
      </c>
      <c r="D39">
        <v>141.96</v>
      </c>
    </row>
    <row r="40" spans="1:4" x14ac:dyDescent="0.3">
      <c r="A40">
        <v>7302.73</v>
      </c>
      <c r="B40">
        <v>32.049999999999997</v>
      </c>
      <c r="C40">
        <v>4336.2</v>
      </c>
      <c r="D40">
        <v>72.02</v>
      </c>
    </row>
    <row r="41" spans="1:4" x14ac:dyDescent="0.3">
      <c r="A41">
        <v>3372.65</v>
      </c>
      <c r="B41">
        <v>30.58</v>
      </c>
      <c r="C41">
        <v>2449.75</v>
      </c>
      <c r="D41">
        <v>77.41</v>
      </c>
    </row>
    <row r="42" spans="1:4" x14ac:dyDescent="0.3">
      <c r="A42">
        <v>8697.48</v>
      </c>
      <c r="B42">
        <v>55.55</v>
      </c>
      <c r="C42">
        <v>3621.91</v>
      </c>
      <c r="D42">
        <v>61.58</v>
      </c>
    </row>
    <row r="43" spans="1:4" x14ac:dyDescent="0.3">
      <c r="A43">
        <v>3171.45</v>
      </c>
      <c r="B43">
        <v>34.75</v>
      </c>
      <c r="C43">
        <v>2059.35</v>
      </c>
      <c r="D43">
        <v>29.27</v>
      </c>
    </row>
    <row r="44" spans="1:4" x14ac:dyDescent="0.3">
      <c r="A44">
        <v>8048.08</v>
      </c>
      <c r="B44">
        <v>39.35</v>
      </c>
      <c r="C44">
        <v>4766.05</v>
      </c>
      <c r="D44">
        <v>40.9</v>
      </c>
    </row>
    <row r="45" spans="1:4" x14ac:dyDescent="0.3">
      <c r="A45">
        <v>3848.7</v>
      </c>
      <c r="B45">
        <v>39.85</v>
      </c>
      <c r="C45">
        <v>2696.53</v>
      </c>
      <c r="D45">
        <v>49.93</v>
      </c>
    </row>
    <row r="46" spans="1:4" x14ac:dyDescent="0.3">
      <c r="A46">
        <v>6057.64</v>
      </c>
      <c r="B46">
        <v>42.89</v>
      </c>
      <c r="C46">
        <v>5474.43</v>
      </c>
      <c r="D46">
        <v>49.23</v>
      </c>
    </row>
    <row r="47" spans="1:4" x14ac:dyDescent="0.3">
      <c r="A47">
        <v>4267.57</v>
      </c>
      <c r="B47">
        <v>37.9</v>
      </c>
      <c r="C47">
        <v>2858.04</v>
      </c>
      <c r="D47">
        <v>52.73</v>
      </c>
    </row>
    <row r="48" spans="1:4" x14ac:dyDescent="0.3">
      <c r="A48">
        <v>5127.9399999999996</v>
      </c>
      <c r="B48">
        <v>40.99</v>
      </c>
      <c r="C48">
        <v>4771.83</v>
      </c>
      <c r="D48">
        <v>44.22</v>
      </c>
    </row>
    <row r="49" spans="1:4" x14ac:dyDescent="0.3">
      <c r="A49">
        <v>4404.9399999999996</v>
      </c>
      <c r="B49">
        <v>38.909999999999997</v>
      </c>
      <c r="C49">
        <v>2810.65</v>
      </c>
      <c r="D49">
        <v>52.95</v>
      </c>
    </row>
    <row r="50" spans="1:4" x14ac:dyDescent="0.3">
      <c r="A50">
        <v>6089.86</v>
      </c>
      <c r="B50">
        <v>26.91</v>
      </c>
      <c r="C50">
        <v>4301.76</v>
      </c>
      <c r="D50">
        <v>115.28</v>
      </c>
    </row>
    <row r="51" spans="1:4" x14ac:dyDescent="0.3">
      <c r="A51">
        <v>4024.16</v>
      </c>
      <c r="B51">
        <v>22.74</v>
      </c>
      <c r="C51">
        <v>2752.69</v>
      </c>
      <c r="D51">
        <v>58.82</v>
      </c>
    </row>
    <row r="52" spans="1:4" x14ac:dyDescent="0.3">
      <c r="A52">
        <v>7867.41</v>
      </c>
      <c r="B52">
        <v>40.54</v>
      </c>
      <c r="C52">
        <v>4446.6400000000003</v>
      </c>
      <c r="D52">
        <v>50.44</v>
      </c>
    </row>
    <row r="53" spans="1:4" x14ac:dyDescent="0.3">
      <c r="A53">
        <v>4654.59</v>
      </c>
      <c r="B53">
        <v>54.29</v>
      </c>
      <c r="C53">
        <v>3089.8</v>
      </c>
      <c r="D53">
        <v>27.17</v>
      </c>
    </row>
    <row r="54" spans="1:4" x14ac:dyDescent="0.3">
      <c r="A54">
        <v>8217.4</v>
      </c>
      <c r="B54">
        <v>40.22</v>
      </c>
      <c r="C54">
        <v>4817.8999999999996</v>
      </c>
      <c r="D54">
        <v>55.84</v>
      </c>
    </row>
    <row r="55" spans="1:4" x14ac:dyDescent="0.3">
      <c r="A55">
        <v>3694.46</v>
      </c>
      <c r="B55">
        <v>48.91</v>
      </c>
      <c r="C55">
        <v>2838.12</v>
      </c>
      <c r="D55">
        <v>53.71</v>
      </c>
    </row>
    <row r="56" spans="1:4" x14ac:dyDescent="0.3">
      <c r="A56">
        <v>7944.7</v>
      </c>
      <c r="B56">
        <v>54.28</v>
      </c>
      <c r="C56">
        <v>4435.4399999999996</v>
      </c>
      <c r="D56">
        <v>48.3</v>
      </c>
    </row>
    <row r="57" spans="1:4" x14ac:dyDescent="0.3">
      <c r="A57">
        <v>3923.25</v>
      </c>
      <c r="B57">
        <v>24.82</v>
      </c>
      <c r="C57">
        <v>2713.87</v>
      </c>
      <c r="D57">
        <v>51.08</v>
      </c>
    </row>
    <row r="58" spans="1:4" x14ac:dyDescent="0.3">
      <c r="A58">
        <v>6205.17</v>
      </c>
      <c r="B58">
        <v>27.07</v>
      </c>
      <c r="C58">
        <v>4131.03</v>
      </c>
      <c r="D58">
        <v>31.3</v>
      </c>
    </row>
    <row r="59" spans="1:4" x14ac:dyDescent="0.3">
      <c r="A59">
        <v>3553.04</v>
      </c>
      <c r="B59">
        <v>23.68</v>
      </c>
      <c r="C59">
        <v>1858.9</v>
      </c>
      <c r="D59">
        <v>29.08</v>
      </c>
    </row>
    <row r="60" spans="1:4" x14ac:dyDescent="0.3">
      <c r="A60">
        <v>5198.04</v>
      </c>
      <c r="B60">
        <v>55.71</v>
      </c>
      <c r="C60">
        <v>4587.9399999999996</v>
      </c>
      <c r="D60">
        <v>80.09</v>
      </c>
    </row>
    <row r="61" spans="1:4" x14ac:dyDescent="0.3">
      <c r="A61">
        <v>4569.9399999999996</v>
      </c>
      <c r="B61">
        <v>29.2</v>
      </c>
      <c r="C61">
        <v>3005.06</v>
      </c>
      <c r="D61">
        <v>63.43</v>
      </c>
    </row>
    <row r="62" spans="1:4" x14ac:dyDescent="0.3">
      <c r="A62">
        <v>5782.08</v>
      </c>
      <c r="B62">
        <v>64.930000000000007</v>
      </c>
      <c r="C62">
        <v>12340.15</v>
      </c>
      <c r="D62">
        <v>47.04</v>
      </c>
    </row>
    <row r="63" spans="1:4" x14ac:dyDescent="0.3">
      <c r="A63">
        <v>4670.5600000000004</v>
      </c>
      <c r="B63">
        <v>41.82</v>
      </c>
      <c r="C63">
        <v>3166.96</v>
      </c>
      <c r="D63">
        <v>68.400000000000006</v>
      </c>
    </row>
    <row r="64" spans="1:4" x14ac:dyDescent="0.3">
      <c r="A64">
        <v>7063.6</v>
      </c>
      <c r="B64">
        <v>29.2</v>
      </c>
      <c r="C64">
        <v>3937.67</v>
      </c>
      <c r="D64">
        <v>151.24</v>
      </c>
    </row>
    <row r="65" spans="1:4" x14ac:dyDescent="0.3">
      <c r="A65">
        <v>3603.25</v>
      </c>
      <c r="B65">
        <v>25.38</v>
      </c>
      <c r="C65">
        <v>3512.61</v>
      </c>
      <c r="D65">
        <v>133.24</v>
      </c>
    </row>
    <row r="66" spans="1:4" x14ac:dyDescent="0.3">
      <c r="A66">
        <v>6910.46</v>
      </c>
      <c r="B66">
        <v>34.020000000000003</v>
      </c>
      <c r="C66">
        <v>4344.88</v>
      </c>
      <c r="D66">
        <v>58.78</v>
      </c>
    </row>
    <row r="67" spans="1:4" x14ac:dyDescent="0.3">
      <c r="A67">
        <v>5144.26</v>
      </c>
      <c r="B67">
        <v>23.88</v>
      </c>
      <c r="C67">
        <v>1969.12</v>
      </c>
      <c r="D67">
        <v>54.49</v>
      </c>
    </row>
    <row r="68" spans="1:4" x14ac:dyDescent="0.3">
      <c r="A68">
        <v>5957.62</v>
      </c>
      <c r="B68">
        <v>36.380000000000003</v>
      </c>
      <c r="C68">
        <v>3636.23</v>
      </c>
      <c r="D68">
        <v>25.61</v>
      </c>
    </row>
    <row r="69" spans="1:4" x14ac:dyDescent="0.3">
      <c r="A69">
        <v>2946.51</v>
      </c>
      <c r="B69">
        <v>26.58</v>
      </c>
      <c r="C69">
        <v>1782.49</v>
      </c>
      <c r="D69">
        <v>27.63</v>
      </c>
    </row>
    <row r="70" spans="1:4" x14ac:dyDescent="0.3">
      <c r="A70">
        <v>6850.7</v>
      </c>
      <c r="B70">
        <v>29.6</v>
      </c>
      <c r="C70">
        <v>3491.61</v>
      </c>
      <c r="D70">
        <v>47.21</v>
      </c>
    </row>
    <row r="71" spans="1:4" x14ac:dyDescent="0.3">
      <c r="A71">
        <v>3048.13</v>
      </c>
      <c r="B71">
        <v>31.9</v>
      </c>
      <c r="C71">
        <v>1856.36</v>
      </c>
      <c r="D71">
        <v>25.46</v>
      </c>
    </row>
    <row r="72" spans="1:4" x14ac:dyDescent="0.3">
      <c r="A72">
        <v>7526.38</v>
      </c>
      <c r="B72">
        <v>51.4</v>
      </c>
      <c r="C72">
        <v>5445.39</v>
      </c>
      <c r="D72">
        <v>49.88</v>
      </c>
    </row>
    <row r="73" spans="1:4" x14ac:dyDescent="0.3">
      <c r="A73">
        <v>2474.46</v>
      </c>
      <c r="B73">
        <v>29.05</v>
      </c>
      <c r="C73">
        <v>3372.79</v>
      </c>
      <c r="D73">
        <v>53.36</v>
      </c>
    </row>
    <row r="74" spans="1:4" x14ac:dyDescent="0.3">
      <c r="A74">
        <v>7033.29</v>
      </c>
      <c r="B74">
        <v>25.16</v>
      </c>
      <c r="C74">
        <v>4907.8599999999997</v>
      </c>
      <c r="D74">
        <v>51.51</v>
      </c>
    </row>
    <row r="75" spans="1:4" x14ac:dyDescent="0.3">
      <c r="A75">
        <v>4339.96</v>
      </c>
      <c r="B75">
        <v>50.94</v>
      </c>
      <c r="C75">
        <v>3122.56</v>
      </c>
      <c r="D75">
        <v>379.25</v>
      </c>
    </row>
    <row r="76" spans="1:4" x14ac:dyDescent="0.3">
      <c r="A76">
        <v>6824.79</v>
      </c>
      <c r="B76">
        <v>27.49</v>
      </c>
      <c r="C76">
        <v>6020.93</v>
      </c>
      <c r="D76">
        <v>51.04</v>
      </c>
    </row>
    <row r="77" spans="1:4" x14ac:dyDescent="0.3">
      <c r="A77">
        <v>5114.92</v>
      </c>
      <c r="B77">
        <v>25.82</v>
      </c>
      <c r="C77">
        <v>2702.23</v>
      </c>
      <c r="D77">
        <v>55.6</v>
      </c>
    </row>
    <row r="78" spans="1:4" x14ac:dyDescent="0.3">
      <c r="A78">
        <v>5152.1899999999996</v>
      </c>
      <c r="B78">
        <v>47.86</v>
      </c>
      <c r="C78">
        <v>3722.07</v>
      </c>
      <c r="D78">
        <v>49.88</v>
      </c>
    </row>
    <row r="79" spans="1:4" x14ac:dyDescent="0.3">
      <c r="A79">
        <v>3740.68</v>
      </c>
      <c r="B79">
        <v>31.21</v>
      </c>
      <c r="C79">
        <v>2818.85</v>
      </c>
      <c r="D79">
        <v>56.86</v>
      </c>
    </row>
    <row r="80" spans="1:4" x14ac:dyDescent="0.3">
      <c r="A80">
        <v>7507.38</v>
      </c>
      <c r="B80">
        <v>43.33</v>
      </c>
      <c r="C80">
        <v>4526.87</v>
      </c>
      <c r="D80">
        <v>57.42</v>
      </c>
    </row>
    <row r="81" spans="1:4" x14ac:dyDescent="0.3">
      <c r="A81">
        <v>4108.3999999999996</v>
      </c>
      <c r="B81">
        <v>45.1</v>
      </c>
      <c r="C81">
        <v>3061.68</v>
      </c>
      <c r="D81">
        <v>50.92</v>
      </c>
    </row>
    <row r="82" spans="1:4" x14ac:dyDescent="0.3">
      <c r="A82">
        <v>4560.95</v>
      </c>
      <c r="B82">
        <v>28.45</v>
      </c>
      <c r="C82">
        <v>3921.66</v>
      </c>
      <c r="D82">
        <v>33.07</v>
      </c>
    </row>
    <row r="83" spans="1:4" x14ac:dyDescent="0.3">
      <c r="A83">
        <v>3937.9</v>
      </c>
      <c r="B83">
        <v>76.16</v>
      </c>
      <c r="C83">
        <v>2482.8200000000002</v>
      </c>
      <c r="D83">
        <v>140.47999999999999</v>
      </c>
    </row>
    <row r="84" spans="1:4" x14ac:dyDescent="0.3">
      <c r="A84">
        <v>4885.68</v>
      </c>
      <c r="B84">
        <v>27.17</v>
      </c>
      <c r="C84">
        <v>4046.82</v>
      </c>
      <c r="D84">
        <v>44.89</v>
      </c>
    </row>
    <row r="85" spans="1:4" x14ac:dyDescent="0.3">
      <c r="A85">
        <v>6452.27</v>
      </c>
      <c r="B85">
        <v>29.25</v>
      </c>
      <c r="C85">
        <v>2054.25</v>
      </c>
      <c r="D85">
        <v>178.77</v>
      </c>
    </row>
    <row r="86" spans="1:4" x14ac:dyDescent="0.3">
      <c r="A86">
        <v>8942.8799999999992</v>
      </c>
      <c r="B86">
        <v>62.75</v>
      </c>
      <c r="C86">
        <v>8282.35</v>
      </c>
      <c r="D86">
        <v>66.56</v>
      </c>
    </row>
    <row r="87" spans="1:4" x14ac:dyDescent="0.3">
      <c r="A87">
        <v>5979.52</v>
      </c>
      <c r="B87">
        <v>66.8</v>
      </c>
      <c r="C87">
        <v>3054.44</v>
      </c>
      <c r="D87">
        <v>29.16</v>
      </c>
    </row>
    <row r="88" spans="1:4" x14ac:dyDescent="0.3">
      <c r="A88">
        <v>10011.51</v>
      </c>
      <c r="B88">
        <v>26.05</v>
      </c>
      <c r="C88">
        <v>11076.59</v>
      </c>
      <c r="D88">
        <v>147.47999999999999</v>
      </c>
    </row>
    <row r="89" spans="1:4" x14ac:dyDescent="0.3">
      <c r="A89">
        <v>2639.12</v>
      </c>
      <c r="B89">
        <v>22.9</v>
      </c>
      <c r="C89">
        <v>6748.87</v>
      </c>
      <c r="D89">
        <v>84.86</v>
      </c>
    </row>
    <row r="90" spans="1:4" x14ac:dyDescent="0.3">
      <c r="A90">
        <v>6492.22</v>
      </c>
      <c r="B90">
        <v>30.04</v>
      </c>
      <c r="C90">
        <v>9803.0300000000007</v>
      </c>
      <c r="D90">
        <v>170.3</v>
      </c>
    </row>
    <row r="91" spans="1:4" x14ac:dyDescent="0.3">
      <c r="A91">
        <v>5747.36</v>
      </c>
      <c r="B91">
        <v>50.8</v>
      </c>
      <c r="C91">
        <v>6542.38</v>
      </c>
      <c r="D91">
        <v>65.739999999999995</v>
      </c>
    </row>
    <row r="92" spans="1:4" x14ac:dyDescent="0.3">
      <c r="A92">
        <v>8526.11</v>
      </c>
      <c r="B92">
        <v>69.319999999999993</v>
      </c>
      <c r="C92">
        <v>5752.26</v>
      </c>
      <c r="D92">
        <v>51.52</v>
      </c>
    </row>
    <row r="93" spans="1:4" x14ac:dyDescent="0.3">
      <c r="A93">
        <v>9644.11</v>
      </c>
      <c r="B93">
        <v>26.54</v>
      </c>
      <c r="C93">
        <v>2268.16</v>
      </c>
      <c r="D93">
        <v>52.01</v>
      </c>
    </row>
    <row r="94" spans="1:4" x14ac:dyDescent="0.3">
      <c r="A94">
        <v>6492.22</v>
      </c>
      <c r="B94">
        <v>66.88</v>
      </c>
      <c r="C94">
        <v>6934.25</v>
      </c>
      <c r="D94">
        <v>94.57</v>
      </c>
    </row>
    <row r="95" spans="1:4" x14ac:dyDescent="0.3">
      <c r="A95">
        <v>8870.9699999999993</v>
      </c>
      <c r="B95">
        <v>56.08</v>
      </c>
      <c r="C95">
        <v>3065.81</v>
      </c>
      <c r="D95">
        <v>28.2</v>
      </c>
    </row>
    <row r="96" spans="1:4" x14ac:dyDescent="0.3">
      <c r="A96">
        <v>9449.24</v>
      </c>
      <c r="B96">
        <v>64.45</v>
      </c>
      <c r="C96">
        <v>6579.38</v>
      </c>
      <c r="D96">
        <v>85.73</v>
      </c>
    </row>
    <row r="97" spans="1:4" x14ac:dyDescent="0.3">
      <c r="A97">
        <v>9606.59</v>
      </c>
      <c r="B97">
        <v>50.9</v>
      </c>
      <c r="C97">
        <v>3345.82</v>
      </c>
      <c r="D97">
        <v>69.42</v>
      </c>
    </row>
    <row r="98" spans="1:4" x14ac:dyDescent="0.3">
      <c r="A98">
        <v>7880.49</v>
      </c>
      <c r="B98">
        <v>63.92</v>
      </c>
      <c r="C98">
        <v>6641.12</v>
      </c>
      <c r="D98">
        <v>56.67</v>
      </c>
    </row>
    <row r="99" spans="1:4" x14ac:dyDescent="0.3">
      <c r="A99">
        <v>8075.45</v>
      </c>
      <c r="B99">
        <v>60.3</v>
      </c>
      <c r="C99">
        <v>3860.22</v>
      </c>
      <c r="D99">
        <v>61</v>
      </c>
    </row>
    <row r="100" spans="1:4" x14ac:dyDescent="0.3">
      <c r="A100">
        <v>8265.44</v>
      </c>
      <c r="B100">
        <v>74.2</v>
      </c>
      <c r="C100">
        <v>7301.67</v>
      </c>
      <c r="D100">
        <v>92.98</v>
      </c>
    </row>
    <row r="101" spans="1:4" x14ac:dyDescent="0.3">
      <c r="A101">
        <v>7956.49</v>
      </c>
      <c r="B101">
        <v>70.27</v>
      </c>
      <c r="C101">
        <v>4430.46</v>
      </c>
      <c r="D101">
        <v>55.53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D87C-88B2-480C-9D45-4E15B3A4B235}">
  <dimension ref="A1:M101"/>
  <sheetViews>
    <sheetView workbookViewId="0">
      <selection activeCell="G21" sqref="G21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5642.2</v>
      </c>
      <c r="B2">
        <v>466.09</v>
      </c>
      <c r="C2">
        <v>266.33999999999997</v>
      </c>
      <c r="D2">
        <v>65.23</v>
      </c>
      <c r="H2" t="s">
        <v>19</v>
      </c>
      <c r="I2" s="4">
        <f>AVERAGE(A$2:A$101)</f>
        <v>403.79870000000011</v>
      </c>
      <c r="J2" s="4">
        <f>AVERAGE(B$2:B$101)</f>
        <v>378.14279999999997</v>
      </c>
      <c r="K2" s="4">
        <f>AVERAGE(C$2:C$101)</f>
        <v>232.60730000000004</v>
      </c>
      <c r="L2" s="4">
        <f t="shared" ref="L2" si="0">AVERAGE(D$2:D$101)</f>
        <v>63.2605</v>
      </c>
      <c r="M2" s="4"/>
    </row>
    <row r="3" spans="1:13" x14ac:dyDescent="0.3">
      <c r="A3">
        <v>231.61</v>
      </c>
      <c r="B3">
        <v>218.1</v>
      </c>
      <c r="C3">
        <v>204.41</v>
      </c>
      <c r="D3">
        <v>70.709999999999994</v>
      </c>
      <c r="H3" t="s">
        <v>17</v>
      </c>
      <c r="I3" s="4">
        <f>MEDIAN(A$2:A$101)</f>
        <v>234.99</v>
      </c>
      <c r="J3" s="4">
        <f t="shared" ref="J3:L3" si="1">MEDIAN(B$2:B$101)</f>
        <v>238.31</v>
      </c>
      <c r="K3" s="4">
        <f t="shared" si="1"/>
        <v>210.96</v>
      </c>
      <c r="L3" s="4">
        <f t="shared" si="1"/>
        <v>62.37</v>
      </c>
      <c r="M3" s="4"/>
    </row>
    <row r="4" spans="1:13" x14ac:dyDescent="0.3">
      <c r="A4">
        <v>226.48</v>
      </c>
      <c r="B4">
        <v>262.64</v>
      </c>
      <c r="C4">
        <v>204.21</v>
      </c>
      <c r="D4">
        <v>64.41</v>
      </c>
      <c r="H4" t="s">
        <v>18</v>
      </c>
      <c r="I4" s="4">
        <f>_xlfn.STDEV.S(A$2:A$101)</f>
        <v>783.38905362063645</v>
      </c>
      <c r="J4" s="4">
        <f t="shared" ref="J4:L4" si="2">_xlfn.STDEV.S(B$2:B$101)</f>
        <v>251.97284725080371</v>
      </c>
      <c r="K4" s="4">
        <f t="shared" si="2"/>
        <v>40.507569210499589</v>
      </c>
      <c r="L4" s="4">
        <f t="shared" si="2"/>
        <v>3.5080623950660801</v>
      </c>
      <c r="M4" s="4"/>
    </row>
    <row r="5" spans="1:13" x14ac:dyDescent="0.3">
      <c r="A5">
        <v>229.72</v>
      </c>
      <c r="B5">
        <v>234</v>
      </c>
      <c r="C5">
        <v>205.63</v>
      </c>
      <c r="D5">
        <v>64.7</v>
      </c>
    </row>
    <row r="6" spans="1:13" x14ac:dyDescent="0.3">
      <c r="A6">
        <v>236.12</v>
      </c>
      <c r="B6">
        <v>240.98</v>
      </c>
      <c r="C6">
        <v>204.52</v>
      </c>
      <c r="D6">
        <v>64.599999999999994</v>
      </c>
    </row>
    <row r="7" spans="1:13" x14ac:dyDescent="0.3">
      <c r="A7">
        <v>582.80999999999995</v>
      </c>
      <c r="B7">
        <v>469.95</v>
      </c>
      <c r="C7">
        <v>270.06</v>
      </c>
      <c r="D7">
        <v>65.78</v>
      </c>
    </row>
    <row r="8" spans="1:13" x14ac:dyDescent="0.3">
      <c r="A8">
        <v>240.11</v>
      </c>
      <c r="B8">
        <v>233.46</v>
      </c>
      <c r="C8">
        <v>206.71</v>
      </c>
      <c r="D8">
        <v>65.84</v>
      </c>
    </row>
    <row r="9" spans="1:13" x14ac:dyDescent="0.3">
      <c r="A9">
        <v>233.36</v>
      </c>
      <c r="B9">
        <v>246.16</v>
      </c>
      <c r="C9">
        <v>216.62</v>
      </c>
      <c r="D9">
        <v>65.05</v>
      </c>
    </row>
    <row r="10" spans="1:13" x14ac:dyDescent="0.3">
      <c r="A10">
        <v>233.37</v>
      </c>
      <c r="B10">
        <v>236.96</v>
      </c>
      <c r="C10">
        <v>207.94</v>
      </c>
      <c r="D10">
        <v>67.88</v>
      </c>
    </row>
    <row r="11" spans="1:13" x14ac:dyDescent="0.3">
      <c r="A11">
        <v>226.72</v>
      </c>
      <c r="B11">
        <v>225.2</v>
      </c>
      <c r="C11">
        <v>203.15</v>
      </c>
      <c r="D11">
        <v>65.06</v>
      </c>
    </row>
    <row r="12" spans="1:13" x14ac:dyDescent="0.3">
      <c r="A12">
        <v>526.45000000000005</v>
      </c>
      <c r="B12">
        <v>425.72</v>
      </c>
      <c r="C12">
        <v>256.16000000000003</v>
      </c>
      <c r="D12">
        <v>70.23</v>
      </c>
    </row>
    <row r="13" spans="1:13" x14ac:dyDescent="0.3">
      <c r="A13">
        <v>222.45</v>
      </c>
      <c r="B13">
        <v>250.57</v>
      </c>
      <c r="C13">
        <v>206.98</v>
      </c>
      <c r="D13">
        <v>61.02</v>
      </c>
    </row>
    <row r="14" spans="1:13" x14ac:dyDescent="0.3">
      <c r="A14">
        <v>226.83</v>
      </c>
      <c r="B14">
        <v>224.37</v>
      </c>
      <c r="C14">
        <v>203.17</v>
      </c>
      <c r="D14">
        <v>58.56</v>
      </c>
    </row>
    <row r="15" spans="1:13" x14ac:dyDescent="0.3">
      <c r="A15">
        <v>217.83</v>
      </c>
      <c r="B15">
        <v>222.32</v>
      </c>
      <c r="C15">
        <v>198.71</v>
      </c>
      <c r="D15">
        <v>60.44</v>
      </c>
    </row>
    <row r="16" spans="1:13" x14ac:dyDescent="0.3">
      <c r="A16">
        <v>228.29</v>
      </c>
      <c r="B16">
        <v>198.73</v>
      </c>
      <c r="C16">
        <v>205.42</v>
      </c>
      <c r="D16">
        <v>59.27</v>
      </c>
    </row>
    <row r="17" spans="1:4" x14ac:dyDescent="0.3">
      <c r="A17">
        <v>535.86</v>
      </c>
      <c r="B17">
        <v>431.89</v>
      </c>
      <c r="C17">
        <v>270.36</v>
      </c>
      <c r="D17">
        <v>63.27</v>
      </c>
    </row>
    <row r="18" spans="1:4" x14ac:dyDescent="0.3">
      <c r="A18">
        <v>234.09</v>
      </c>
      <c r="B18">
        <v>204.82</v>
      </c>
      <c r="C18">
        <v>204.71</v>
      </c>
      <c r="D18">
        <v>60.97</v>
      </c>
    </row>
    <row r="19" spans="1:4" x14ac:dyDescent="0.3">
      <c r="A19">
        <v>235.17</v>
      </c>
      <c r="B19">
        <v>228.41</v>
      </c>
      <c r="C19">
        <v>202.28</v>
      </c>
      <c r="D19">
        <v>60.34</v>
      </c>
    </row>
    <row r="20" spans="1:4" x14ac:dyDescent="0.3">
      <c r="A20">
        <v>226.66</v>
      </c>
      <c r="B20">
        <v>224.62</v>
      </c>
      <c r="C20">
        <v>202.06</v>
      </c>
      <c r="D20">
        <v>60.52</v>
      </c>
    </row>
    <row r="21" spans="1:4" x14ac:dyDescent="0.3">
      <c r="A21">
        <v>226.58</v>
      </c>
      <c r="B21">
        <v>205.31</v>
      </c>
      <c r="C21">
        <v>200.83</v>
      </c>
      <c r="D21">
        <v>60.03</v>
      </c>
    </row>
    <row r="22" spans="1:4" x14ac:dyDescent="0.3">
      <c r="A22">
        <v>546.09</v>
      </c>
      <c r="B22">
        <v>432.33</v>
      </c>
      <c r="C22">
        <v>266.81</v>
      </c>
      <c r="D22">
        <v>62.16</v>
      </c>
    </row>
    <row r="23" spans="1:4" x14ac:dyDescent="0.3">
      <c r="A23">
        <v>223.23</v>
      </c>
      <c r="B23">
        <v>226.7</v>
      </c>
      <c r="C23">
        <v>202.91</v>
      </c>
      <c r="D23">
        <v>61.02</v>
      </c>
    </row>
    <row r="24" spans="1:4" x14ac:dyDescent="0.3">
      <c r="A24">
        <v>222.87</v>
      </c>
      <c r="B24">
        <v>228.82</v>
      </c>
      <c r="C24">
        <v>201.49</v>
      </c>
      <c r="D24">
        <v>61.13</v>
      </c>
    </row>
    <row r="25" spans="1:4" x14ac:dyDescent="0.3">
      <c r="A25">
        <v>223.51</v>
      </c>
      <c r="B25">
        <v>223.4</v>
      </c>
      <c r="C25">
        <v>197.46</v>
      </c>
      <c r="D25">
        <v>61.3</v>
      </c>
    </row>
    <row r="26" spans="1:4" x14ac:dyDescent="0.3">
      <c r="A26">
        <v>226.02</v>
      </c>
      <c r="B26">
        <v>203.07</v>
      </c>
      <c r="C26">
        <v>200.19</v>
      </c>
      <c r="D26">
        <v>61.09</v>
      </c>
    </row>
    <row r="27" spans="1:4" x14ac:dyDescent="0.3">
      <c r="A27">
        <v>552.54999999999995</v>
      </c>
      <c r="B27">
        <v>440.39</v>
      </c>
      <c r="C27">
        <v>286.63</v>
      </c>
      <c r="D27">
        <v>63.33</v>
      </c>
    </row>
    <row r="28" spans="1:4" x14ac:dyDescent="0.3">
      <c r="A28">
        <v>232.07</v>
      </c>
      <c r="B28">
        <v>782.13</v>
      </c>
      <c r="C28">
        <v>255.86</v>
      </c>
      <c r="D28">
        <v>63.55</v>
      </c>
    </row>
    <row r="29" spans="1:4" x14ac:dyDescent="0.3">
      <c r="A29">
        <v>241.29</v>
      </c>
      <c r="B29">
        <v>930.17</v>
      </c>
      <c r="C29">
        <v>254.68</v>
      </c>
      <c r="D29">
        <v>63.68</v>
      </c>
    </row>
    <row r="30" spans="1:4" x14ac:dyDescent="0.3">
      <c r="A30">
        <v>236.22</v>
      </c>
      <c r="B30">
        <v>222.98</v>
      </c>
      <c r="C30">
        <v>201.55</v>
      </c>
      <c r="D30">
        <v>62.41</v>
      </c>
    </row>
    <row r="31" spans="1:4" x14ac:dyDescent="0.3">
      <c r="A31">
        <v>233.52</v>
      </c>
      <c r="B31">
        <v>210.31</v>
      </c>
      <c r="C31">
        <v>207.4</v>
      </c>
      <c r="D31">
        <v>62.49</v>
      </c>
    </row>
    <row r="32" spans="1:4" x14ac:dyDescent="0.3">
      <c r="A32">
        <v>556.57000000000005</v>
      </c>
      <c r="B32">
        <v>448.11</v>
      </c>
      <c r="C32">
        <v>261.43</v>
      </c>
      <c r="D32">
        <v>64.16</v>
      </c>
    </row>
    <row r="33" spans="1:4" x14ac:dyDescent="0.3">
      <c r="A33">
        <v>227.32</v>
      </c>
      <c r="B33">
        <v>237.59</v>
      </c>
      <c r="C33">
        <v>210.31</v>
      </c>
      <c r="D33">
        <v>62.9</v>
      </c>
    </row>
    <row r="34" spans="1:4" x14ac:dyDescent="0.3">
      <c r="A34">
        <v>232.63</v>
      </c>
      <c r="B34">
        <v>234.84</v>
      </c>
      <c r="C34">
        <v>201.2</v>
      </c>
      <c r="D34">
        <v>63.43</v>
      </c>
    </row>
    <row r="35" spans="1:4" x14ac:dyDescent="0.3">
      <c r="A35">
        <v>229.02</v>
      </c>
      <c r="B35">
        <v>202.66</v>
      </c>
      <c r="C35">
        <v>206.03</v>
      </c>
      <c r="D35">
        <v>63.11</v>
      </c>
    </row>
    <row r="36" spans="1:4" x14ac:dyDescent="0.3">
      <c r="A36">
        <v>234.4</v>
      </c>
      <c r="B36">
        <v>241.95</v>
      </c>
      <c r="C36">
        <v>215.06</v>
      </c>
      <c r="D36">
        <v>63.17</v>
      </c>
    </row>
    <row r="37" spans="1:4" x14ac:dyDescent="0.3">
      <c r="A37">
        <v>601.6</v>
      </c>
      <c r="B37">
        <v>471.84</v>
      </c>
      <c r="C37">
        <v>287.89999999999998</v>
      </c>
      <c r="D37">
        <v>67.38</v>
      </c>
    </row>
    <row r="38" spans="1:4" x14ac:dyDescent="0.3">
      <c r="A38">
        <v>274.39999999999998</v>
      </c>
      <c r="B38">
        <v>873.25</v>
      </c>
      <c r="C38">
        <v>311.47000000000003</v>
      </c>
      <c r="D38">
        <v>67.52</v>
      </c>
    </row>
    <row r="39" spans="1:4" x14ac:dyDescent="0.3">
      <c r="A39">
        <v>246.05</v>
      </c>
      <c r="B39">
        <v>1145.27</v>
      </c>
      <c r="C39">
        <v>364.89</v>
      </c>
      <c r="D39">
        <v>67.819999999999993</v>
      </c>
    </row>
    <row r="40" spans="1:4" x14ac:dyDescent="0.3">
      <c r="A40">
        <v>239.13</v>
      </c>
      <c r="B40">
        <v>1100.1300000000001</v>
      </c>
      <c r="C40">
        <v>363.14</v>
      </c>
      <c r="D40">
        <v>68.62</v>
      </c>
    </row>
    <row r="41" spans="1:4" x14ac:dyDescent="0.3">
      <c r="A41">
        <v>235.14</v>
      </c>
      <c r="B41">
        <v>225.39</v>
      </c>
      <c r="C41">
        <v>214.17</v>
      </c>
      <c r="D41">
        <v>66.459999999999994</v>
      </c>
    </row>
    <row r="42" spans="1:4" x14ac:dyDescent="0.3">
      <c r="A42">
        <v>628.66999999999996</v>
      </c>
      <c r="B42">
        <v>438.45</v>
      </c>
      <c r="C42">
        <v>270.02</v>
      </c>
      <c r="D42">
        <v>62</v>
      </c>
    </row>
    <row r="43" spans="1:4" x14ac:dyDescent="0.3">
      <c r="A43">
        <v>235.67</v>
      </c>
      <c r="B43">
        <v>208.38</v>
      </c>
      <c r="C43">
        <v>224.66</v>
      </c>
      <c r="D43">
        <v>76.489999999999995</v>
      </c>
    </row>
    <row r="44" spans="1:4" x14ac:dyDescent="0.3">
      <c r="A44">
        <v>245.07</v>
      </c>
      <c r="B44">
        <v>250.24</v>
      </c>
      <c r="C44">
        <v>207</v>
      </c>
      <c r="D44">
        <v>62.84</v>
      </c>
    </row>
    <row r="45" spans="1:4" x14ac:dyDescent="0.3">
      <c r="A45">
        <v>230.48</v>
      </c>
      <c r="B45">
        <v>239</v>
      </c>
      <c r="C45">
        <v>207.64</v>
      </c>
      <c r="D45">
        <v>61.58</v>
      </c>
    </row>
    <row r="46" spans="1:4" x14ac:dyDescent="0.3">
      <c r="A46">
        <v>226.41</v>
      </c>
      <c r="B46">
        <v>237.25</v>
      </c>
      <c r="C46">
        <v>203.83</v>
      </c>
      <c r="D46">
        <v>61.48</v>
      </c>
    </row>
    <row r="47" spans="1:4" x14ac:dyDescent="0.3">
      <c r="A47">
        <v>552.95000000000005</v>
      </c>
      <c r="B47">
        <v>448.16</v>
      </c>
      <c r="C47">
        <v>275.83</v>
      </c>
      <c r="D47">
        <v>62.77</v>
      </c>
    </row>
    <row r="48" spans="1:4" x14ac:dyDescent="0.3">
      <c r="A48">
        <v>227.15</v>
      </c>
      <c r="B48">
        <v>207.58</v>
      </c>
      <c r="C48">
        <v>204.98</v>
      </c>
      <c r="D48">
        <v>62.57</v>
      </c>
    </row>
    <row r="49" spans="1:4" x14ac:dyDescent="0.3">
      <c r="A49">
        <v>233.11</v>
      </c>
      <c r="B49">
        <v>251.16</v>
      </c>
      <c r="C49">
        <v>240.66</v>
      </c>
      <c r="D49">
        <v>80.209999999999994</v>
      </c>
    </row>
    <row r="50" spans="1:4" x14ac:dyDescent="0.3">
      <c r="A50">
        <v>227.2</v>
      </c>
      <c r="B50">
        <v>239.42</v>
      </c>
      <c r="C50">
        <v>199.78</v>
      </c>
      <c r="D50">
        <v>61.76</v>
      </c>
    </row>
    <row r="51" spans="1:4" x14ac:dyDescent="0.3">
      <c r="A51">
        <v>245.11</v>
      </c>
      <c r="B51">
        <v>231.27</v>
      </c>
      <c r="C51">
        <v>199.04</v>
      </c>
      <c r="D51">
        <v>62.24</v>
      </c>
    </row>
    <row r="52" spans="1:4" x14ac:dyDescent="0.3">
      <c r="A52">
        <v>5930.42</v>
      </c>
      <c r="B52">
        <v>446.19</v>
      </c>
      <c r="C52">
        <v>262.24</v>
      </c>
      <c r="D52">
        <v>60.36</v>
      </c>
    </row>
    <row r="53" spans="1:4" x14ac:dyDescent="0.3">
      <c r="A53">
        <v>224.82</v>
      </c>
      <c r="B53">
        <v>1081.27</v>
      </c>
      <c r="C53">
        <v>327.44</v>
      </c>
      <c r="D53">
        <v>61.88</v>
      </c>
    </row>
    <row r="54" spans="1:4" x14ac:dyDescent="0.3">
      <c r="A54">
        <v>227.78</v>
      </c>
      <c r="B54">
        <v>393.66</v>
      </c>
      <c r="C54">
        <v>204.7</v>
      </c>
      <c r="D54">
        <v>60</v>
      </c>
    </row>
    <row r="55" spans="1:4" x14ac:dyDescent="0.3">
      <c r="A55">
        <v>222.46</v>
      </c>
      <c r="B55">
        <v>251.84</v>
      </c>
      <c r="C55">
        <v>205.95</v>
      </c>
      <c r="D55">
        <v>60.7</v>
      </c>
    </row>
    <row r="56" spans="1:4" x14ac:dyDescent="0.3">
      <c r="A56">
        <v>221.83</v>
      </c>
      <c r="B56">
        <v>218.13</v>
      </c>
      <c r="C56">
        <v>204.3</v>
      </c>
      <c r="D56">
        <v>60.2</v>
      </c>
    </row>
    <row r="57" spans="1:4" x14ac:dyDescent="0.3">
      <c r="A57">
        <v>548.59</v>
      </c>
      <c r="B57">
        <v>447.3</v>
      </c>
      <c r="C57">
        <v>264.3</v>
      </c>
      <c r="D57">
        <v>61.19</v>
      </c>
    </row>
    <row r="58" spans="1:4" x14ac:dyDescent="0.3">
      <c r="A58">
        <v>228.17</v>
      </c>
      <c r="B58">
        <v>975.29</v>
      </c>
      <c r="C58">
        <v>276</v>
      </c>
      <c r="D58">
        <v>62.19</v>
      </c>
    </row>
    <row r="59" spans="1:4" x14ac:dyDescent="0.3">
      <c r="A59">
        <v>226.41</v>
      </c>
      <c r="B59">
        <v>262.8</v>
      </c>
      <c r="C59">
        <v>207.49</v>
      </c>
      <c r="D59">
        <v>62.33</v>
      </c>
    </row>
    <row r="60" spans="1:4" x14ac:dyDescent="0.3">
      <c r="A60">
        <v>228.83</v>
      </c>
      <c r="B60">
        <v>221.01</v>
      </c>
      <c r="C60">
        <v>198.48</v>
      </c>
      <c r="D60">
        <v>55.78</v>
      </c>
    </row>
    <row r="61" spans="1:4" x14ac:dyDescent="0.3">
      <c r="A61">
        <v>225.2</v>
      </c>
      <c r="B61">
        <v>206.5</v>
      </c>
      <c r="C61">
        <v>240.01</v>
      </c>
      <c r="D61">
        <v>61.5</v>
      </c>
    </row>
    <row r="62" spans="1:4" x14ac:dyDescent="0.3">
      <c r="A62">
        <v>559.29</v>
      </c>
      <c r="B62">
        <v>452.01</v>
      </c>
      <c r="C62">
        <v>277.39999999999998</v>
      </c>
      <c r="D62">
        <v>63.71</v>
      </c>
    </row>
    <row r="63" spans="1:4" x14ac:dyDescent="0.3">
      <c r="A63">
        <v>242.06</v>
      </c>
      <c r="B63">
        <v>213.58</v>
      </c>
      <c r="C63">
        <v>216.11</v>
      </c>
      <c r="D63">
        <v>62.24</v>
      </c>
    </row>
    <row r="64" spans="1:4" x14ac:dyDescent="0.3">
      <c r="A64">
        <v>233.24</v>
      </c>
      <c r="B64">
        <v>243.14</v>
      </c>
      <c r="C64">
        <v>214.67</v>
      </c>
      <c r="D64">
        <v>62.55</v>
      </c>
    </row>
    <row r="65" spans="1:4" x14ac:dyDescent="0.3">
      <c r="A65">
        <v>236.97</v>
      </c>
      <c r="B65">
        <v>237.62</v>
      </c>
      <c r="C65">
        <v>210.29</v>
      </c>
      <c r="D65">
        <v>62.63</v>
      </c>
    </row>
    <row r="66" spans="1:4" x14ac:dyDescent="0.3">
      <c r="A66">
        <v>248.53</v>
      </c>
      <c r="B66">
        <v>233.4</v>
      </c>
      <c r="C66">
        <v>205.97</v>
      </c>
      <c r="D66">
        <v>62.25</v>
      </c>
    </row>
    <row r="67" spans="1:4" x14ac:dyDescent="0.3">
      <c r="A67">
        <v>547.04</v>
      </c>
      <c r="B67">
        <v>440.48</v>
      </c>
      <c r="C67">
        <v>258.72000000000003</v>
      </c>
      <c r="D67">
        <v>62.18</v>
      </c>
    </row>
    <row r="68" spans="1:4" x14ac:dyDescent="0.3">
      <c r="A68">
        <v>239.18</v>
      </c>
      <c r="B68">
        <v>985.93</v>
      </c>
      <c r="C68">
        <v>254.26</v>
      </c>
      <c r="D68">
        <v>63.73</v>
      </c>
    </row>
    <row r="69" spans="1:4" x14ac:dyDescent="0.3">
      <c r="A69">
        <v>237.91</v>
      </c>
      <c r="B69">
        <v>228.94</v>
      </c>
      <c r="C69">
        <v>203.85</v>
      </c>
      <c r="D69">
        <v>62.03</v>
      </c>
    </row>
    <row r="70" spans="1:4" x14ac:dyDescent="0.3">
      <c r="A70">
        <v>240.33</v>
      </c>
      <c r="B70">
        <v>229.16</v>
      </c>
      <c r="C70">
        <v>204.79</v>
      </c>
      <c r="D70">
        <v>61.67</v>
      </c>
    </row>
    <row r="71" spans="1:4" x14ac:dyDescent="0.3">
      <c r="A71">
        <v>235.28</v>
      </c>
      <c r="B71">
        <v>215.47</v>
      </c>
      <c r="C71">
        <v>213.04</v>
      </c>
      <c r="D71">
        <v>61.96</v>
      </c>
    </row>
    <row r="72" spans="1:4" x14ac:dyDescent="0.3">
      <c r="A72">
        <v>549.75</v>
      </c>
      <c r="B72">
        <v>458.93</v>
      </c>
      <c r="C72">
        <v>268.82</v>
      </c>
      <c r="D72">
        <v>62.81</v>
      </c>
    </row>
    <row r="73" spans="1:4" x14ac:dyDescent="0.3">
      <c r="A73">
        <v>231.6</v>
      </c>
      <c r="B73">
        <v>735.56</v>
      </c>
      <c r="C73">
        <v>217.94</v>
      </c>
      <c r="D73">
        <v>63.21</v>
      </c>
    </row>
    <row r="74" spans="1:4" x14ac:dyDescent="0.3">
      <c r="A74">
        <v>229.11</v>
      </c>
      <c r="B74">
        <v>234.27</v>
      </c>
      <c r="C74">
        <v>206.59</v>
      </c>
      <c r="D74">
        <v>62.25</v>
      </c>
    </row>
    <row r="75" spans="1:4" x14ac:dyDescent="0.3">
      <c r="A75">
        <v>230.51</v>
      </c>
      <c r="B75">
        <v>228.56</v>
      </c>
      <c r="C75">
        <v>204.05</v>
      </c>
      <c r="D75">
        <v>62.69</v>
      </c>
    </row>
    <row r="76" spans="1:4" x14ac:dyDescent="0.3">
      <c r="A76">
        <v>236.52</v>
      </c>
      <c r="B76">
        <v>210.07</v>
      </c>
      <c r="C76">
        <v>212.23</v>
      </c>
      <c r="D76">
        <v>61.92</v>
      </c>
    </row>
    <row r="77" spans="1:4" x14ac:dyDescent="0.3">
      <c r="A77">
        <v>605.24</v>
      </c>
      <c r="B77">
        <v>490.44</v>
      </c>
      <c r="C77">
        <v>275.29000000000002</v>
      </c>
      <c r="D77">
        <v>67.849999999999994</v>
      </c>
    </row>
    <row r="78" spans="1:4" x14ac:dyDescent="0.3">
      <c r="A78">
        <v>228.23</v>
      </c>
      <c r="B78">
        <v>1115.03</v>
      </c>
      <c r="C78">
        <v>393.75</v>
      </c>
      <c r="D78">
        <v>68.650000000000006</v>
      </c>
    </row>
    <row r="79" spans="1:4" x14ac:dyDescent="0.3">
      <c r="A79">
        <v>243.99</v>
      </c>
      <c r="B79">
        <v>947.16</v>
      </c>
      <c r="C79">
        <v>312.79000000000002</v>
      </c>
      <c r="D79">
        <v>66.959999999999994</v>
      </c>
    </row>
    <row r="80" spans="1:4" x14ac:dyDescent="0.3">
      <c r="A80">
        <v>236.18</v>
      </c>
      <c r="B80">
        <v>223.03</v>
      </c>
      <c r="C80">
        <v>214.55</v>
      </c>
      <c r="D80">
        <v>67.56</v>
      </c>
    </row>
    <row r="81" spans="1:4" x14ac:dyDescent="0.3">
      <c r="A81">
        <v>233.69</v>
      </c>
      <c r="B81">
        <v>244.76</v>
      </c>
      <c r="C81">
        <v>213.8</v>
      </c>
      <c r="D81">
        <v>72.010000000000005</v>
      </c>
    </row>
    <row r="82" spans="1:4" x14ac:dyDescent="0.3">
      <c r="A82">
        <v>543.58000000000004</v>
      </c>
      <c r="B82">
        <v>444.18</v>
      </c>
      <c r="C82">
        <v>260.73</v>
      </c>
      <c r="D82">
        <v>61.11</v>
      </c>
    </row>
    <row r="83" spans="1:4" x14ac:dyDescent="0.3">
      <c r="A83">
        <v>230.35</v>
      </c>
      <c r="B83">
        <v>605.86</v>
      </c>
      <c r="C83">
        <v>241.19</v>
      </c>
      <c r="D83">
        <v>61.81</v>
      </c>
    </row>
    <row r="84" spans="1:4" x14ac:dyDescent="0.3">
      <c r="A84">
        <v>239.97</v>
      </c>
      <c r="B84">
        <v>229.24</v>
      </c>
      <c r="C84">
        <v>217.44</v>
      </c>
      <c r="D84">
        <v>64.459999999999994</v>
      </c>
    </row>
    <row r="85" spans="1:4" x14ac:dyDescent="0.3">
      <c r="A85">
        <v>272.87</v>
      </c>
      <c r="B85">
        <v>227.6</v>
      </c>
      <c r="C85">
        <v>206.22</v>
      </c>
      <c r="D85">
        <v>60.34</v>
      </c>
    </row>
    <row r="86" spans="1:4" x14ac:dyDescent="0.3">
      <c r="A86">
        <v>256</v>
      </c>
      <c r="B86">
        <v>361.36</v>
      </c>
      <c r="C86">
        <v>201.88</v>
      </c>
      <c r="D86">
        <v>55.76</v>
      </c>
    </row>
    <row r="87" spans="1:4" x14ac:dyDescent="0.3">
      <c r="A87">
        <v>569.05999999999995</v>
      </c>
      <c r="B87">
        <v>440.96</v>
      </c>
      <c r="C87">
        <v>263.62</v>
      </c>
      <c r="D87">
        <v>61.96</v>
      </c>
    </row>
    <row r="88" spans="1:4" x14ac:dyDescent="0.3">
      <c r="A88">
        <v>231.64</v>
      </c>
      <c r="B88">
        <v>613.97</v>
      </c>
      <c r="C88">
        <v>253.61</v>
      </c>
      <c r="D88">
        <v>61.58</v>
      </c>
    </row>
    <row r="89" spans="1:4" x14ac:dyDescent="0.3">
      <c r="A89">
        <v>242.28</v>
      </c>
      <c r="B89">
        <v>233.29</v>
      </c>
      <c r="C89">
        <v>227.22</v>
      </c>
      <c r="D89">
        <v>61.78</v>
      </c>
    </row>
    <row r="90" spans="1:4" x14ac:dyDescent="0.3">
      <c r="A90">
        <v>235.5</v>
      </c>
      <c r="B90">
        <v>224.57</v>
      </c>
      <c r="C90">
        <v>209.86</v>
      </c>
      <c r="D90">
        <v>61.74</v>
      </c>
    </row>
    <row r="91" spans="1:4" x14ac:dyDescent="0.3">
      <c r="A91">
        <v>233.7</v>
      </c>
      <c r="B91">
        <v>212.16</v>
      </c>
      <c r="C91">
        <v>210.14</v>
      </c>
      <c r="D91">
        <v>61.61</v>
      </c>
    </row>
    <row r="92" spans="1:4" x14ac:dyDescent="0.3">
      <c r="A92">
        <v>541.59</v>
      </c>
      <c r="B92">
        <v>439.18</v>
      </c>
      <c r="C92">
        <v>250.34</v>
      </c>
      <c r="D92">
        <v>60.87</v>
      </c>
    </row>
    <row r="93" spans="1:4" x14ac:dyDescent="0.3">
      <c r="A93">
        <v>234.84</v>
      </c>
      <c r="B93">
        <v>236.29</v>
      </c>
      <c r="C93">
        <v>201.05</v>
      </c>
      <c r="D93">
        <v>60.61</v>
      </c>
    </row>
    <row r="94" spans="1:4" x14ac:dyDescent="0.3">
      <c r="A94">
        <v>229.48</v>
      </c>
      <c r="B94">
        <v>232.95</v>
      </c>
      <c r="C94">
        <v>202.36</v>
      </c>
      <c r="D94">
        <v>61.05</v>
      </c>
    </row>
    <row r="95" spans="1:4" x14ac:dyDescent="0.3">
      <c r="A95">
        <v>243.8</v>
      </c>
      <c r="B95">
        <v>222.16</v>
      </c>
      <c r="C95">
        <v>211.61</v>
      </c>
      <c r="D95">
        <v>60.79</v>
      </c>
    </row>
    <row r="96" spans="1:4" x14ac:dyDescent="0.3">
      <c r="A96">
        <v>228.05</v>
      </c>
      <c r="B96">
        <v>219.22</v>
      </c>
      <c r="C96">
        <v>209.09</v>
      </c>
      <c r="D96">
        <v>60.75</v>
      </c>
    </row>
    <row r="97" spans="1:4" x14ac:dyDescent="0.3">
      <c r="A97">
        <v>546.42999999999995</v>
      </c>
      <c r="B97">
        <v>445.95</v>
      </c>
      <c r="C97">
        <v>259.42</v>
      </c>
      <c r="D97">
        <v>63.3</v>
      </c>
    </row>
    <row r="98" spans="1:4" x14ac:dyDescent="0.3">
      <c r="A98">
        <v>235.88</v>
      </c>
      <c r="B98">
        <v>1038.44</v>
      </c>
      <c r="C98">
        <v>301.47000000000003</v>
      </c>
      <c r="D98">
        <v>63.84</v>
      </c>
    </row>
    <row r="99" spans="1:4" x14ac:dyDescent="0.3">
      <c r="A99">
        <v>233.8</v>
      </c>
      <c r="B99">
        <v>785.89</v>
      </c>
      <c r="C99">
        <v>266.33</v>
      </c>
      <c r="D99">
        <v>64.260000000000005</v>
      </c>
    </row>
    <row r="100" spans="1:4" x14ac:dyDescent="0.3">
      <c r="A100">
        <v>239.23</v>
      </c>
      <c r="B100">
        <v>227.53</v>
      </c>
      <c r="C100">
        <v>205.09</v>
      </c>
      <c r="D100">
        <v>63.29</v>
      </c>
    </row>
    <row r="101" spans="1:4" x14ac:dyDescent="0.3">
      <c r="A101">
        <v>234.5</v>
      </c>
      <c r="B101">
        <v>219.41</v>
      </c>
      <c r="C101">
        <v>207.95</v>
      </c>
      <c r="D101">
        <v>63.57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5C53-2F6C-4039-B22C-0C643A29DB72}">
  <dimension ref="A1:M101"/>
  <sheetViews>
    <sheetView workbookViewId="0">
      <selection activeCell="F20" sqref="F20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6664.07</v>
      </c>
      <c r="B2">
        <v>148.41999999999999</v>
      </c>
      <c r="C2">
        <v>408.02</v>
      </c>
      <c r="D2">
        <v>26.08</v>
      </c>
      <c r="H2" t="s">
        <v>19</v>
      </c>
      <c r="I2" s="4">
        <f>AVERAGE(A$2:A$101)</f>
        <v>1216.1628999999996</v>
      </c>
      <c r="J2" s="4">
        <f>AVERAGE(B$2:B$101)</f>
        <v>104.70900000000002</v>
      </c>
      <c r="K2" s="4">
        <f>AVERAGE(C$2:C$101)</f>
        <v>348.86649999999986</v>
      </c>
      <c r="L2" s="4">
        <f t="shared" ref="L2" si="0">AVERAGE(D$2:D$101)</f>
        <v>25.986299999999993</v>
      </c>
      <c r="M2" s="4"/>
    </row>
    <row r="3" spans="1:13" x14ac:dyDescent="0.3">
      <c r="A3">
        <v>346.46</v>
      </c>
      <c r="B3">
        <v>77</v>
      </c>
      <c r="C3">
        <v>326.99</v>
      </c>
      <c r="D3">
        <v>26.29</v>
      </c>
      <c r="H3" t="s">
        <v>17</v>
      </c>
      <c r="I3" s="4">
        <f>MEDIAN(A$2:A$101)</f>
        <v>357.47500000000002</v>
      </c>
      <c r="J3" s="4">
        <f t="shared" ref="J3:L3" si="1">MEDIAN(B$2:B$101)</f>
        <v>88.704999999999998</v>
      </c>
      <c r="K3" s="4">
        <f t="shared" si="1"/>
        <v>336.83000000000004</v>
      </c>
      <c r="L3" s="4">
        <f t="shared" si="1"/>
        <v>25.805</v>
      </c>
      <c r="M3" s="4"/>
    </row>
    <row r="4" spans="1:13" x14ac:dyDescent="0.3">
      <c r="A4">
        <v>348.11</v>
      </c>
      <c r="B4">
        <v>88.4</v>
      </c>
      <c r="C4">
        <v>331.29</v>
      </c>
      <c r="D4">
        <v>26.42</v>
      </c>
      <c r="H4" t="s">
        <v>18</v>
      </c>
      <c r="I4" s="4">
        <f>_xlfn.STDEV.S(A$2:A$101)</f>
        <v>2478.2382438423911</v>
      </c>
      <c r="J4" s="4">
        <f t="shared" ref="J4:L4" si="2">_xlfn.STDEV.S(B$2:B$101)</f>
        <v>43.950872884081846</v>
      </c>
      <c r="K4" s="4">
        <f t="shared" si="2"/>
        <v>31.507042322456915</v>
      </c>
      <c r="L4" s="4">
        <f t="shared" si="2"/>
        <v>1.4162788453114619</v>
      </c>
      <c r="M4" s="4"/>
    </row>
    <row r="5" spans="1:13" x14ac:dyDescent="0.3">
      <c r="A5">
        <v>356.78</v>
      </c>
      <c r="B5">
        <v>91.26</v>
      </c>
      <c r="C5">
        <v>334.13</v>
      </c>
      <c r="D5">
        <v>26.68</v>
      </c>
    </row>
    <row r="6" spans="1:13" x14ac:dyDescent="0.3">
      <c r="A6">
        <v>340.07</v>
      </c>
      <c r="B6">
        <v>74.989999999999995</v>
      </c>
      <c r="C6">
        <v>320.74</v>
      </c>
      <c r="D6">
        <v>25.68</v>
      </c>
    </row>
    <row r="7" spans="1:13" x14ac:dyDescent="0.3">
      <c r="A7">
        <v>7536.03</v>
      </c>
      <c r="B7">
        <v>160.03</v>
      </c>
      <c r="C7">
        <v>429.16</v>
      </c>
      <c r="D7">
        <v>24.81</v>
      </c>
    </row>
    <row r="8" spans="1:13" x14ac:dyDescent="0.3">
      <c r="A8">
        <v>348.54</v>
      </c>
      <c r="B8">
        <v>102.63</v>
      </c>
      <c r="C8">
        <v>354.46</v>
      </c>
      <c r="D8">
        <v>25.34</v>
      </c>
    </row>
    <row r="9" spans="1:13" x14ac:dyDescent="0.3">
      <c r="A9">
        <v>340.11</v>
      </c>
      <c r="B9">
        <v>69.61</v>
      </c>
      <c r="C9">
        <v>335.71</v>
      </c>
      <c r="D9">
        <v>24.43</v>
      </c>
    </row>
    <row r="10" spans="1:13" x14ac:dyDescent="0.3">
      <c r="A10">
        <v>357.09</v>
      </c>
      <c r="B10">
        <v>97.08</v>
      </c>
      <c r="C10">
        <v>344.55</v>
      </c>
      <c r="D10">
        <v>25.07</v>
      </c>
    </row>
    <row r="11" spans="1:13" x14ac:dyDescent="0.3">
      <c r="A11">
        <v>349.36</v>
      </c>
      <c r="B11">
        <v>75.400000000000006</v>
      </c>
      <c r="C11">
        <v>346.74</v>
      </c>
      <c r="D11">
        <v>24.77</v>
      </c>
    </row>
    <row r="12" spans="1:13" x14ac:dyDescent="0.3">
      <c r="A12">
        <v>7888.18</v>
      </c>
      <c r="B12">
        <v>172.08</v>
      </c>
      <c r="C12">
        <v>366.18</v>
      </c>
      <c r="D12">
        <v>25.2</v>
      </c>
    </row>
    <row r="13" spans="1:13" x14ac:dyDescent="0.3">
      <c r="A13">
        <v>361.27</v>
      </c>
      <c r="B13">
        <v>81.900000000000006</v>
      </c>
      <c r="C13">
        <v>366.93</v>
      </c>
      <c r="D13">
        <v>24.57</v>
      </c>
    </row>
    <row r="14" spans="1:13" x14ac:dyDescent="0.3">
      <c r="A14">
        <v>345.67</v>
      </c>
      <c r="B14">
        <v>86.33</v>
      </c>
      <c r="C14">
        <v>328.93</v>
      </c>
      <c r="D14">
        <v>25.28</v>
      </c>
    </row>
    <row r="15" spans="1:13" x14ac:dyDescent="0.3">
      <c r="A15">
        <v>346.74</v>
      </c>
      <c r="B15">
        <v>83.21</v>
      </c>
      <c r="C15">
        <v>337.53</v>
      </c>
      <c r="D15">
        <v>24.76</v>
      </c>
    </row>
    <row r="16" spans="1:13" x14ac:dyDescent="0.3">
      <c r="A16">
        <v>339.36</v>
      </c>
      <c r="B16">
        <v>76.599999999999994</v>
      </c>
      <c r="C16">
        <v>324.48</v>
      </c>
      <c r="D16">
        <v>24.93</v>
      </c>
    </row>
    <row r="17" spans="1:4" x14ac:dyDescent="0.3">
      <c r="A17">
        <v>486.89</v>
      </c>
      <c r="B17">
        <v>181.6</v>
      </c>
      <c r="C17">
        <v>419</v>
      </c>
      <c r="D17">
        <v>25.34</v>
      </c>
    </row>
    <row r="18" spans="1:4" x14ac:dyDescent="0.3">
      <c r="A18">
        <v>355.46</v>
      </c>
      <c r="B18">
        <v>99.49</v>
      </c>
      <c r="C18">
        <v>342.39</v>
      </c>
      <c r="D18">
        <v>25.2</v>
      </c>
    </row>
    <row r="19" spans="1:4" x14ac:dyDescent="0.3">
      <c r="A19">
        <v>371.38</v>
      </c>
      <c r="B19">
        <v>97.07</v>
      </c>
      <c r="C19">
        <v>340.9</v>
      </c>
      <c r="D19">
        <v>25.14</v>
      </c>
    </row>
    <row r="20" spans="1:4" x14ac:dyDescent="0.3">
      <c r="A20">
        <v>339.12</v>
      </c>
      <c r="B20">
        <v>99.3</v>
      </c>
      <c r="C20">
        <v>332.95</v>
      </c>
      <c r="D20">
        <v>24.9</v>
      </c>
    </row>
    <row r="21" spans="1:4" x14ac:dyDescent="0.3">
      <c r="A21">
        <v>353.27</v>
      </c>
      <c r="B21">
        <v>83.62</v>
      </c>
      <c r="C21">
        <v>336.97</v>
      </c>
      <c r="D21">
        <v>25.24</v>
      </c>
    </row>
    <row r="22" spans="1:4" x14ac:dyDescent="0.3">
      <c r="A22">
        <v>451.99</v>
      </c>
      <c r="B22">
        <v>203.39</v>
      </c>
      <c r="C22">
        <v>424.77</v>
      </c>
      <c r="D22">
        <v>25.84</v>
      </c>
    </row>
    <row r="23" spans="1:4" x14ac:dyDescent="0.3">
      <c r="A23">
        <v>347.12</v>
      </c>
      <c r="B23">
        <v>141.69</v>
      </c>
      <c r="C23">
        <v>356.95</v>
      </c>
      <c r="D23">
        <v>26.41</v>
      </c>
    </row>
    <row r="24" spans="1:4" x14ac:dyDescent="0.3">
      <c r="A24">
        <v>356.65</v>
      </c>
      <c r="B24">
        <v>70.95</v>
      </c>
      <c r="C24">
        <v>327.93</v>
      </c>
      <c r="D24">
        <v>26.62</v>
      </c>
    </row>
    <row r="25" spans="1:4" x14ac:dyDescent="0.3">
      <c r="A25">
        <v>350.57</v>
      </c>
      <c r="B25">
        <v>83.85</v>
      </c>
      <c r="C25">
        <v>324.85000000000002</v>
      </c>
      <c r="D25">
        <v>25.87</v>
      </c>
    </row>
    <row r="26" spans="1:4" x14ac:dyDescent="0.3">
      <c r="A26">
        <v>338.96</v>
      </c>
      <c r="B26">
        <v>85.54</v>
      </c>
      <c r="C26">
        <v>329.97</v>
      </c>
      <c r="D26">
        <v>25.31</v>
      </c>
    </row>
    <row r="27" spans="1:4" x14ac:dyDescent="0.3">
      <c r="A27">
        <v>10832.98</v>
      </c>
      <c r="B27">
        <v>219.51</v>
      </c>
      <c r="C27">
        <v>427.63</v>
      </c>
      <c r="D27">
        <v>27.58</v>
      </c>
    </row>
    <row r="28" spans="1:4" x14ac:dyDescent="0.3">
      <c r="A28">
        <v>490.7</v>
      </c>
      <c r="B28">
        <v>126.95</v>
      </c>
      <c r="C28">
        <v>344.87</v>
      </c>
      <c r="D28">
        <v>26.4</v>
      </c>
    </row>
    <row r="29" spans="1:4" x14ac:dyDescent="0.3">
      <c r="A29">
        <v>366.59</v>
      </c>
      <c r="B29">
        <v>79.819999999999993</v>
      </c>
      <c r="C29">
        <v>343.35</v>
      </c>
      <c r="D29">
        <v>26.36</v>
      </c>
    </row>
    <row r="30" spans="1:4" x14ac:dyDescent="0.3">
      <c r="A30">
        <v>356.52</v>
      </c>
      <c r="B30">
        <v>91.03</v>
      </c>
      <c r="C30">
        <v>353.05</v>
      </c>
      <c r="D30">
        <v>25.37</v>
      </c>
    </row>
    <row r="31" spans="1:4" x14ac:dyDescent="0.3">
      <c r="A31">
        <v>364.17</v>
      </c>
      <c r="B31">
        <v>86.13</v>
      </c>
      <c r="C31">
        <v>339.61</v>
      </c>
      <c r="D31">
        <v>25.64</v>
      </c>
    </row>
    <row r="32" spans="1:4" x14ac:dyDescent="0.3">
      <c r="A32">
        <v>423.26</v>
      </c>
      <c r="B32">
        <v>245.72</v>
      </c>
      <c r="C32">
        <v>416.4</v>
      </c>
      <c r="D32">
        <v>25.02</v>
      </c>
    </row>
    <row r="33" spans="1:4" x14ac:dyDescent="0.3">
      <c r="A33">
        <v>380.75</v>
      </c>
      <c r="B33">
        <v>91.28</v>
      </c>
      <c r="C33">
        <v>335.08</v>
      </c>
      <c r="D33">
        <v>25.92</v>
      </c>
    </row>
    <row r="34" spans="1:4" x14ac:dyDescent="0.3">
      <c r="A34">
        <v>363.23</v>
      </c>
      <c r="B34">
        <v>81.62</v>
      </c>
      <c r="C34">
        <v>353.43</v>
      </c>
      <c r="D34">
        <v>25.27</v>
      </c>
    </row>
    <row r="35" spans="1:4" x14ac:dyDescent="0.3">
      <c r="A35">
        <v>341.75</v>
      </c>
      <c r="B35">
        <v>93.15</v>
      </c>
      <c r="C35">
        <v>343.05</v>
      </c>
      <c r="D35">
        <v>26.33</v>
      </c>
    </row>
    <row r="36" spans="1:4" x14ac:dyDescent="0.3">
      <c r="A36">
        <v>356.03</v>
      </c>
      <c r="B36">
        <v>75.17</v>
      </c>
      <c r="C36">
        <v>335.81</v>
      </c>
      <c r="D36">
        <v>25.65</v>
      </c>
    </row>
    <row r="37" spans="1:4" x14ac:dyDescent="0.3">
      <c r="A37">
        <v>9776.25</v>
      </c>
      <c r="B37">
        <v>200.69</v>
      </c>
      <c r="C37">
        <v>371.93</v>
      </c>
      <c r="D37">
        <v>25.43</v>
      </c>
    </row>
    <row r="38" spans="1:4" x14ac:dyDescent="0.3">
      <c r="A38">
        <v>341.8</v>
      </c>
      <c r="B38">
        <v>97.64</v>
      </c>
      <c r="C38">
        <v>333.68</v>
      </c>
      <c r="D38">
        <v>26.54</v>
      </c>
    </row>
    <row r="39" spans="1:4" x14ac:dyDescent="0.3">
      <c r="A39">
        <v>351.82</v>
      </c>
      <c r="B39">
        <v>74.98</v>
      </c>
      <c r="C39">
        <v>327.39</v>
      </c>
      <c r="D39">
        <v>26.11</v>
      </c>
    </row>
    <row r="40" spans="1:4" x14ac:dyDescent="0.3">
      <c r="A40">
        <v>349.4</v>
      </c>
      <c r="B40">
        <v>79.34</v>
      </c>
      <c r="C40">
        <v>336.56</v>
      </c>
      <c r="D40">
        <v>25.34</v>
      </c>
    </row>
    <row r="41" spans="1:4" x14ac:dyDescent="0.3">
      <c r="A41">
        <v>363.53</v>
      </c>
      <c r="B41">
        <v>102.81</v>
      </c>
      <c r="C41">
        <v>332.34</v>
      </c>
      <c r="D41">
        <v>25.8</v>
      </c>
    </row>
    <row r="42" spans="1:4" x14ac:dyDescent="0.3">
      <c r="A42">
        <v>8146.62</v>
      </c>
      <c r="B42">
        <v>200.03</v>
      </c>
      <c r="C42">
        <v>424.84</v>
      </c>
      <c r="D42">
        <v>27.82</v>
      </c>
    </row>
    <row r="43" spans="1:4" x14ac:dyDescent="0.3">
      <c r="A43">
        <v>387.63</v>
      </c>
      <c r="B43">
        <v>88.75</v>
      </c>
      <c r="C43">
        <v>338.6</v>
      </c>
      <c r="D43">
        <v>27.72</v>
      </c>
    </row>
    <row r="44" spans="1:4" x14ac:dyDescent="0.3">
      <c r="A44">
        <v>361.48</v>
      </c>
      <c r="B44">
        <v>89.98</v>
      </c>
      <c r="C44">
        <v>339.76</v>
      </c>
      <c r="D44">
        <v>28.01</v>
      </c>
    </row>
    <row r="45" spans="1:4" x14ac:dyDescent="0.3">
      <c r="A45">
        <v>346.74</v>
      </c>
      <c r="B45">
        <v>80.16</v>
      </c>
      <c r="C45">
        <v>330.97</v>
      </c>
      <c r="D45">
        <v>27.94</v>
      </c>
    </row>
    <row r="46" spans="1:4" x14ac:dyDescent="0.3">
      <c r="A46">
        <v>353.63</v>
      </c>
      <c r="B46">
        <v>80.72</v>
      </c>
      <c r="C46">
        <v>345.75</v>
      </c>
      <c r="D46">
        <v>28.22</v>
      </c>
    </row>
    <row r="47" spans="1:4" x14ac:dyDescent="0.3">
      <c r="A47">
        <v>464.69</v>
      </c>
      <c r="B47">
        <v>204.81</v>
      </c>
      <c r="C47">
        <v>457.15</v>
      </c>
      <c r="D47">
        <v>26.68</v>
      </c>
    </row>
    <row r="48" spans="1:4" x14ac:dyDescent="0.3">
      <c r="A48">
        <v>397.01</v>
      </c>
      <c r="B48">
        <v>98.36</v>
      </c>
      <c r="C48">
        <v>347.15</v>
      </c>
      <c r="D48">
        <v>25.81</v>
      </c>
    </row>
    <row r="49" spans="1:4" x14ac:dyDescent="0.3">
      <c r="A49">
        <v>373.86</v>
      </c>
      <c r="B49">
        <v>121.42</v>
      </c>
      <c r="C49">
        <v>338.85</v>
      </c>
      <c r="D49">
        <v>25.89</v>
      </c>
    </row>
    <row r="50" spans="1:4" x14ac:dyDescent="0.3">
      <c r="A50">
        <v>359.9</v>
      </c>
      <c r="B50">
        <v>93.1</v>
      </c>
      <c r="C50">
        <v>337.42</v>
      </c>
      <c r="D50">
        <v>25.74</v>
      </c>
    </row>
    <row r="51" spans="1:4" x14ac:dyDescent="0.3">
      <c r="A51">
        <v>354.33</v>
      </c>
      <c r="B51">
        <v>91.06</v>
      </c>
      <c r="C51">
        <v>333.57</v>
      </c>
      <c r="D51">
        <v>26.42</v>
      </c>
    </row>
    <row r="52" spans="1:4" x14ac:dyDescent="0.3">
      <c r="A52">
        <v>10338.76</v>
      </c>
      <c r="B52">
        <v>216.7</v>
      </c>
      <c r="C52">
        <v>404.75</v>
      </c>
      <c r="D52">
        <v>24.4</v>
      </c>
    </row>
    <row r="53" spans="1:4" x14ac:dyDescent="0.3">
      <c r="A53">
        <v>375.68</v>
      </c>
      <c r="B53">
        <v>88.66</v>
      </c>
      <c r="C53">
        <v>322.98</v>
      </c>
      <c r="D53">
        <v>24.33</v>
      </c>
    </row>
    <row r="54" spans="1:4" x14ac:dyDescent="0.3">
      <c r="A54">
        <v>338.65</v>
      </c>
      <c r="B54">
        <v>85.51</v>
      </c>
      <c r="C54">
        <v>345.96</v>
      </c>
      <c r="D54">
        <v>24.54</v>
      </c>
    </row>
    <row r="55" spans="1:4" x14ac:dyDescent="0.3">
      <c r="A55">
        <v>361.4</v>
      </c>
      <c r="B55">
        <v>70.5</v>
      </c>
      <c r="C55">
        <v>330.69</v>
      </c>
      <c r="D55">
        <v>24.58</v>
      </c>
    </row>
    <row r="56" spans="1:4" x14ac:dyDescent="0.3">
      <c r="A56">
        <v>382.94</v>
      </c>
      <c r="B56">
        <v>75.97</v>
      </c>
      <c r="C56">
        <v>355.4</v>
      </c>
      <c r="D56">
        <v>24.3</v>
      </c>
    </row>
    <row r="57" spans="1:4" x14ac:dyDescent="0.3">
      <c r="A57">
        <v>438.17</v>
      </c>
      <c r="B57">
        <v>167.95</v>
      </c>
      <c r="C57">
        <v>399.76</v>
      </c>
      <c r="D57">
        <v>32.28</v>
      </c>
    </row>
    <row r="58" spans="1:4" x14ac:dyDescent="0.3">
      <c r="A58">
        <v>357.86</v>
      </c>
      <c r="B58">
        <v>139.41</v>
      </c>
      <c r="C58">
        <v>332.63</v>
      </c>
      <c r="D58">
        <v>25.55</v>
      </c>
    </row>
    <row r="59" spans="1:4" x14ac:dyDescent="0.3">
      <c r="A59">
        <v>372.83</v>
      </c>
      <c r="B59">
        <v>96</v>
      </c>
      <c r="C59">
        <v>370.07</v>
      </c>
      <c r="D59">
        <v>27.39</v>
      </c>
    </row>
    <row r="60" spans="1:4" x14ac:dyDescent="0.3">
      <c r="A60">
        <v>347.57</v>
      </c>
      <c r="B60">
        <v>76.87</v>
      </c>
      <c r="C60">
        <v>331.17</v>
      </c>
      <c r="D60">
        <v>25.11</v>
      </c>
    </row>
    <row r="61" spans="1:4" x14ac:dyDescent="0.3">
      <c r="A61">
        <v>343.54</v>
      </c>
      <c r="B61">
        <v>65.13</v>
      </c>
      <c r="C61">
        <v>324.99</v>
      </c>
      <c r="D61">
        <v>25.34</v>
      </c>
    </row>
    <row r="62" spans="1:4" x14ac:dyDescent="0.3">
      <c r="A62">
        <v>422.12</v>
      </c>
      <c r="B62">
        <v>152.33000000000001</v>
      </c>
      <c r="C62">
        <v>336.58</v>
      </c>
      <c r="D62">
        <v>26.29</v>
      </c>
    </row>
    <row r="63" spans="1:4" x14ac:dyDescent="0.3">
      <c r="A63">
        <v>353.68</v>
      </c>
      <c r="B63">
        <v>109.35</v>
      </c>
      <c r="C63">
        <v>336.69</v>
      </c>
      <c r="D63">
        <v>25.86</v>
      </c>
    </row>
    <row r="64" spans="1:4" x14ac:dyDescent="0.3">
      <c r="A64">
        <v>350.37</v>
      </c>
      <c r="B64">
        <v>77.94</v>
      </c>
      <c r="C64">
        <v>339.22</v>
      </c>
      <c r="D64">
        <v>26.32</v>
      </c>
    </row>
    <row r="65" spans="1:4" x14ac:dyDescent="0.3">
      <c r="A65">
        <v>438.8</v>
      </c>
      <c r="B65">
        <v>89.84</v>
      </c>
      <c r="C65">
        <v>323.98</v>
      </c>
      <c r="D65">
        <v>25.45</v>
      </c>
    </row>
    <row r="66" spans="1:4" x14ac:dyDescent="0.3">
      <c r="A66">
        <v>339.31</v>
      </c>
      <c r="B66">
        <v>75.150000000000006</v>
      </c>
      <c r="C66">
        <v>328.39</v>
      </c>
      <c r="D66">
        <v>25.4</v>
      </c>
    </row>
    <row r="67" spans="1:4" x14ac:dyDescent="0.3">
      <c r="A67">
        <v>6811.95</v>
      </c>
      <c r="B67">
        <v>160.69</v>
      </c>
      <c r="C67">
        <v>419.04</v>
      </c>
      <c r="D67">
        <v>26.73</v>
      </c>
    </row>
    <row r="68" spans="1:4" x14ac:dyDescent="0.3">
      <c r="A68">
        <v>345.68</v>
      </c>
      <c r="B68">
        <v>88.34</v>
      </c>
      <c r="C68">
        <v>337.26</v>
      </c>
      <c r="D68">
        <v>25.8</v>
      </c>
    </row>
    <row r="69" spans="1:4" x14ac:dyDescent="0.3">
      <c r="A69">
        <v>345.23</v>
      </c>
      <c r="B69">
        <v>75.67</v>
      </c>
      <c r="C69">
        <v>329.48</v>
      </c>
      <c r="D69">
        <v>26.07</v>
      </c>
    </row>
    <row r="70" spans="1:4" x14ac:dyDescent="0.3">
      <c r="A70">
        <v>359.14</v>
      </c>
      <c r="B70">
        <v>94.26</v>
      </c>
      <c r="C70">
        <v>326.02999999999997</v>
      </c>
      <c r="D70">
        <v>25.07</v>
      </c>
    </row>
    <row r="71" spans="1:4" x14ac:dyDescent="0.3">
      <c r="A71">
        <v>331.63</v>
      </c>
      <c r="B71">
        <v>69.25</v>
      </c>
      <c r="C71">
        <v>327.35000000000002</v>
      </c>
      <c r="D71">
        <v>26.64</v>
      </c>
    </row>
    <row r="72" spans="1:4" x14ac:dyDescent="0.3">
      <c r="A72">
        <v>6443.7</v>
      </c>
      <c r="B72">
        <v>151.66</v>
      </c>
      <c r="C72">
        <v>381.88</v>
      </c>
      <c r="D72">
        <v>25.66</v>
      </c>
    </row>
    <row r="73" spans="1:4" x14ac:dyDescent="0.3">
      <c r="A73">
        <v>349.09</v>
      </c>
      <c r="B73">
        <v>72.41</v>
      </c>
      <c r="C73">
        <v>332.32</v>
      </c>
      <c r="D73">
        <v>26.08</v>
      </c>
    </row>
    <row r="74" spans="1:4" x14ac:dyDescent="0.3">
      <c r="A74">
        <v>339.32</v>
      </c>
      <c r="B74">
        <v>66.06</v>
      </c>
      <c r="C74">
        <v>322.45</v>
      </c>
      <c r="D74">
        <v>25.71</v>
      </c>
    </row>
    <row r="75" spans="1:4" x14ac:dyDescent="0.3">
      <c r="A75">
        <v>344.66</v>
      </c>
      <c r="B75">
        <v>69.67</v>
      </c>
      <c r="C75">
        <v>322.99</v>
      </c>
      <c r="D75">
        <v>25.71</v>
      </c>
    </row>
    <row r="76" spans="1:4" x14ac:dyDescent="0.3">
      <c r="A76">
        <v>334.73</v>
      </c>
      <c r="B76">
        <v>74.64</v>
      </c>
      <c r="C76">
        <v>323.48</v>
      </c>
      <c r="D76">
        <v>26.36</v>
      </c>
    </row>
    <row r="77" spans="1:4" x14ac:dyDescent="0.3">
      <c r="A77">
        <v>421.36</v>
      </c>
      <c r="B77">
        <v>155.21</v>
      </c>
      <c r="C77">
        <v>336.69</v>
      </c>
      <c r="D77">
        <v>25.02</v>
      </c>
    </row>
    <row r="78" spans="1:4" x14ac:dyDescent="0.3">
      <c r="A78">
        <v>342.38</v>
      </c>
      <c r="B78">
        <v>72.5</v>
      </c>
      <c r="C78">
        <v>340.54</v>
      </c>
      <c r="D78">
        <v>25.48</v>
      </c>
    </row>
    <row r="79" spans="1:4" x14ac:dyDescent="0.3">
      <c r="A79">
        <v>375.07</v>
      </c>
      <c r="B79">
        <v>81.150000000000006</v>
      </c>
      <c r="C79">
        <v>337.29</v>
      </c>
      <c r="D79">
        <v>27.1</v>
      </c>
    </row>
    <row r="80" spans="1:4" x14ac:dyDescent="0.3">
      <c r="A80">
        <v>338.88</v>
      </c>
      <c r="B80">
        <v>19.670000000000002</v>
      </c>
      <c r="C80">
        <v>328.26</v>
      </c>
      <c r="D80">
        <v>25.39</v>
      </c>
    </row>
    <row r="81" spans="1:4" x14ac:dyDescent="0.3">
      <c r="A81">
        <v>379.56</v>
      </c>
      <c r="B81">
        <v>85.79</v>
      </c>
      <c r="C81">
        <v>319.45999999999998</v>
      </c>
      <c r="D81">
        <v>20.78</v>
      </c>
    </row>
    <row r="82" spans="1:4" x14ac:dyDescent="0.3">
      <c r="A82">
        <v>6705.56</v>
      </c>
      <c r="B82">
        <v>175.17</v>
      </c>
      <c r="C82">
        <v>332.81</v>
      </c>
      <c r="D82">
        <v>27.52</v>
      </c>
    </row>
    <row r="83" spans="1:4" x14ac:dyDescent="0.3">
      <c r="A83">
        <v>440.9</v>
      </c>
      <c r="B83">
        <v>65.89</v>
      </c>
      <c r="C83">
        <v>376.41</v>
      </c>
      <c r="D83">
        <v>29.72</v>
      </c>
    </row>
    <row r="84" spans="1:4" x14ac:dyDescent="0.3">
      <c r="A84">
        <v>353.98</v>
      </c>
      <c r="B84">
        <v>67.94</v>
      </c>
      <c r="C84">
        <v>319.26</v>
      </c>
      <c r="D84">
        <v>26.28</v>
      </c>
    </row>
    <row r="85" spans="1:4" x14ac:dyDescent="0.3">
      <c r="A85">
        <v>347.4</v>
      </c>
      <c r="B85">
        <v>78.77</v>
      </c>
      <c r="C85">
        <v>329.61</v>
      </c>
      <c r="D85">
        <v>25.29</v>
      </c>
    </row>
    <row r="86" spans="1:4" x14ac:dyDescent="0.3">
      <c r="A86">
        <v>349.13</v>
      </c>
      <c r="B86">
        <v>63.08</v>
      </c>
      <c r="C86">
        <v>329.84</v>
      </c>
      <c r="D86">
        <v>25.11</v>
      </c>
    </row>
    <row r="87" spans="1:4" x14ac:dyDescent="0.3">
      <c r="A87">
        <v>420.32</v>
      </c>
      <c r="B87">
        <v>205.77</v>
      </c>
      <c r="C87">
        <v>418.5</v>
      </c>
      <c r="D87">
        <v>26.24</v>
      </c>
    </row>
    <row r="88" spans="1:4" x14ac:dyDescent="0.3">
      <c r="A88">
        <v>379.14</v>
      </c>
      <c r="B88">
        <v>110.64</v>
      </c>
      <c r="C88">
        <v>345.78</v>
      </c>
      <c r="D88">
        <v>26</v>
      </c>
    </row>
    <row r="89" spans="1:4" x14ac:dyDescent="0.3">
      <c r="A89">
        <v>373.67</v>
      </c>
      <c r="B89">
        <v>96.53</v>
      </c>
      <c r="C89">
        <v>364.66</v>
      </c>
      <c r="D89">
        <v>26.55</v>
      </c>
    </row>
    <row r="90" spans="1:4" x14ac:dyDescent="0.3">
      <c r="A90">
        <v>376.72</v>
      </c>
      <c r="B90">
        <v>88.09</v>
      </c>
      <c r="C90">
        <v>332.78</v>
      </c>
      <c r="D90">
        <v>32.81</v>
      </c>
    </row>
    <row r="91" spans="1:4" x14ac:dyDescent="0.3">
      <c r="A91">
        <v>366.99</v>
      </c>
      <c r="B91">
        <v>104.65</v>
      </c>
      <c r="C91">
        <v>338.72</v>
      </c>
      <c r="D91">
        <v>26.25</v>
      </c>
    </row>
    <row r="92" spans="1:4" x14ac:dyDescent="0.3">
      <c r="A92">
        <v>7833.21</v>
      </c>
      <c r="B92">
        <v>190</v>
      </c>
      <c r="C92">
        <v>430.44</v>
      </c>
      <c r="D92">
        <v>26.12</v>
      </c>
    </row>
    <row r="93" spans="1:4" x14ac:dyDescent="0.3">
      <c r="A93">
        <v>362.17</v>
      </c>
      <c r="B93">
        <v>77.44</v>
      </c>
      <c r="C93">
        <v>324.95999999999998</v>
      </c>
      <c r="D93">
        <v>25.5</v>
      </c>
    </row>
    <row r="94" spans="1:4" x14ac:dyDescent="0.3">
      <c r="A94">
        <v>359.88</v>
      </c>
      <c r="B94">
        <v>88.96</v>
      </c>
      <c r="C94">
        <v>358.38</v>
      </c>
      <c r="D94">
        <v>26.18</v>
      </c>
    </row>
    <row r="95" spans="1:4" x14ac:dyDescent="0.3">
      <c r="A95">
        <v>347.1</v>
      </c>
      <c r="B95">
        <v>79.180000000000007</v>
      </c>
      <c r="C95">
        <v>328.21</v>
      </c>
      <c r="D95">
        <v>26.1</v>
      </c>
    </row>
    <row r="96" spans="1:4" x14ac:dyDescent="0.3">
      <c r="A96">
        <v>342.07</v>
      </c>
      <c r="B96">
        <v>91.72</v>
      </c>
      <c r="C96">
        <v>322.85000000000002</v>
      </c>
      <c r="D96">
        <v>26.27</v>
      </c>
    </row>
    <row r="97" spans="1:4" x14ac:dyDescent="0.3">
      <c r="A97">
        <v>411.23</v>
      </c>
      <c r="B97">
        <v>145.11000000000001</v>
      </c>
      <c r="C97">
        <v>376.82</v>
      </c>
      <c r="D97">
        <v>26.1</v>
      </c>
    </row>
    <row r="98" spans="1:4" x14ac:dyDescent="0.3">
      <c r="A98">
        <v>354.81</v>
      </c>
      <c r="B98">
        <v>91.89</v>
      </c>
      <c r="C98">
        <v>332.68</v>
      </c>
      <c r="D98">
        <v>26.13</v>
      </c>
    </row>
    <row r="99" spans="1:4" x14ac:dyDescent="0.3">
      <c r="A99">
        <v>365.38</v>
      </c>
      <c r="B99">
        <v>74.17</v>
      </c>
      <c r="C99">
        <v>325.72000000000003</v>
      </c>
      <c r="D99">
        <v>25.66</v>
      </c>
    </row>
    <row r="100" spans="1:4" x14ac:dyDescent="0.3">
      <c r="A100">
        <v>336.47</v>
      </c>
      <c r="B100">
        <v>64.010000000000005</v>
      </c>
      <c r="C100">
        <v>326.29000000000002</v>
      </c>
      <c r="D100">
        <v>27.14</v>
      </c>
    </row>
    <row r="101" spans="1:4" x14ac:dyDescent="0.3">
      <c r="A101">
        <v>342.18</v>
      </c>
      <c r="B101">
        <v>61.94</v>
      </c>
      <c r="C101">
        <v>323.39</v>
      </c>
      <c r="D101">
        <v>25.73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4558-7FAF-48BC-B7B6-16B42AFF0DE3}">
  <dimension ref="A1:M101"/>
  <sheetViews>
    <sheetView workbookViewId="0">
      <selection activeCell="H21" sqref="H21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143.51</v>
      </c>
      <c r="B2">
        <v>154.88999999999999</v>
      </c>
      <c r="C2">
        <v>164.98</v>
      </c>
      <c r="D2">
        <v>8.11</v>
      </c>
      <c r="H2" t="s">
        <v>19</v>
      </c>
      <c r="I2" s="4">
        <f>AVERAGE(A$2:A$101)</f>
        <v>507.5741000000001</v>
      </c>
      <c r="J2" s="4">
        <f>AVERAGE(B$2:B$101)</f>
        <v>167.91089999999994</v>
      </c>
      <c r="K2" s="4">
        <f>AVERAGE(C$2:C$101)</f>
        <v>642.34979999999985</v>
      </c>
      <c r="L2" s="4">
        <f t="shared" ref="L2" si="0">AVERAGE(D$2:D$101)</f>
        <v>30.911299999999994</v>
      </c>
      <c r="M2" s="4"/>
    </row>
    <row r="3" spans="1:13" x14ac:dyDescent="0.3">
      <c r="A3">
        <v>128.31</v>
      </c>
      <c r="B3">
        <v>69.69</v>
      </c>
      <c r="C3">
        <v>127.92</v>
      </c>
      <c r="D3">
        <v>6.48</v>
      </c>
      <c r="H3" t="s">
        <v>17</v>
      </c>
      <c r="I3" s="4">
        <f>MEDIAN(A$2:A$101)</f>
        <v>101.75999999999999</v>
      </c>
      <c r="J3" s="4">
        <f t="shared" ref="J3:L3" si="1">MEDIAN(B$2:B$101)</f>
        <v>57.344999999999999</v>
      </c>
      <c r="K3" s="4">
        <f t="shared" si="1"/>
        <v>82.405000000000001</v>
      </c>
      <c r="L3" s="4">
        <f t="shared" si="1"/>
        <v>8.1950000000000003</v>
      </c>
      <c r="M3" s="4"/>
    </row>
    <row r="4" spans="1:13" x14ac:dyDescent="0.3">
      <c r="A4">
        <v>141.53</v>
      </c>
      <c r="B4">
        <v>61.44</v>
      </c>
      <c r="C4">
        <v>77.97</v>
      </c>
      <c r="D4">
        <v>7.49</v>
      </c>
      <c r="H4" t="s">
        <v>18</v>
      </c>
      <c r="I4" s="4">
        <f>_xlfn.STDEV.S(A$2:A$101)</f>
        <v>1755.1948931579848</v>
      </c>
      <c r="J4" s="4">
        <f t="shared" ref="J4:L4" si="2">_xlfn.STDEV.S(B$2:B$101)</f>
        <v>906.38087862195391</v>
      </c>
      <c r="K4" s="4">
        <f t="shared" si="2"/>
        <v>2185.1562806667471</v>
      </c>
      <c r="L4" s="4">
        <f t="shared" si="2"/>
        <v>96.988176189240477</v>
      </c>
      <c r="M4" s="4"/>
    </row>
    <row r="5" spans="1:13" x14ac:dyDescent="0.3">
      <c r="A5">
        <v>97.98</v>
      </c>
      <c r="B5">
        <v>54.65</v>
      </c>
      <c r="C5">
        <v>75.260000000000005</v>
      </c>
      <c r="D5">
        <v>6.52</v>
      </c>
    </row>
    <row r="6" spans="1:13" x14ac:dyDescent="0.3">
      <c r="A6">
        <v>89.63</v>
      </c>
      <c r="B6">
        <v>66.41</v>
      </c>
      <c r="C6">
        <v>75.86</v>
      </c>
      <c r="D6">
        <v>6.9</v>
      </c>
    </row>
    <row r="7" spans="1:13" x14ac:dyDescent="0.3">
      <c r="A7">
        <v>182.55</v>
      </c>
      <c r="B7">
        <v>178.31</v>
      </c>
      <c r="C7">
        <v>9119.4699999999993</v>
      </c>
      <c r="D7">
        <v>7.5</v>
      </c>
    </row>
    <row r="8" spans="1:13" x14ac:dyDescent="0.3">
      <c r="A8">
        <v>85.22</v>
      </c>
      <c r="B8">
        <v>65.319999999999993</v>
      </c>
      <c r="C8">
        <v>88.1</v>
      </c>
      <c r="D8">
        <v>7.02</v>
      </c>
    </row>
    <row r="9" spans="1:13" x14ac:dyDescent="0.3">
      <c r="A9">
        <v>98.24</v>
      </c>
      <c r="B9">
        <v>54.39</v>
      </c>
      <c r="C9">
        <v>73.73</v>
      </c>
      <c r="D9">
        <v>7.26</v>
      </c>
    </row>
    <row r="10" spans="1:13" x14ac:dyDescent="0.3">
      <c r="A10">
        <v>94.49</v>
      </c>
      <c r="B10">
        <v>51.58</v>
      </c>
      <c r="C10">
        <v>110.62</v>
      </c>
      <c r="D10">
        <v>6.7</v>
      </c>
    </row>
    <row r="11" spans="1:13" x14ac:dyDescent="0.3">
      <c r="A11">
        <v>83.96</v>
      </c>
      <c r="B11">
        <v>52.55</v>
      </c>
      <c r="C11">
        <v>81.16</v>
      </c>
      <c r="D11">
        <v>7.31</v>
      </c>
    </row>
    <row r="12" spans="1:13" x14ac:dyDescent="0.3">
      <c r="A12">
        <v>182.06</v>
      </c>
      <c r="B12">
        <v>191.52</v>
      </c>
      <c r="C12">
        <v>9402.07</v>
      </c>
      <c r="D12">
        <v>8.3000000000000007</v>
      </c>
    </row>
    <row r="13" spans="1:13" x14ac:dyDescent="0.3">
      <c r="A13">
        <v>92.79</v>
      </c>
      <c r="B13">
        <v>73.489999999999995</v>
      </c>
      <c r="C13">
        <v>93.79</v>
      </c>
      <c r="D13">
        <v>7.14</v>
      </c>
    </row>
    <row r="14" spans="1:13" x14ac:dyDescent="0.3">
      <c r="A14">
        <v>104.69</v>
      </c>
      <c r="B14">
        <v>65.94</v>
      </c>
      <c r="C14">
        <v>88.71</v>
      </c>
      <c r="D14">
        <v>7.13</v>
      </c>
    </row>
    <row r="15" spans="1:13" x14ac:dyDescent="0.3">
      <c r="A15">
        <v>82.77</v>
      </c>
      <c r="B15">
        <v>50.83</v>
      </c>
      <c r="C15">
        <v>99.52</v>
      </c>
      <c r="D15">
        <v>7.75</v>
      </c>
    </row>
    <row r="16" spans="1:13" x14ac:dyDescent="0.3">
      <c r="A16">
        <v>88.65</v>
      </c>
      <c r="B16">
        <v>60.59</v>
      </c>
      <c r="C16">
        <v>76.67</v>
      </c>
      <c r="D16">
        <v>6.89</v>
      </c>
    </row>
    <row r="17" spans="1:4" x14ac:dyDescent="0.3">
      <c r="A17">
        <v>124.11</v>
      </c>
      <c r="B17">
        <v>170.65</v>
      </c>
      <c r="C17">
        <v>130.11000000000001</v>
      </c>
      <c r="D17">
        <v>6.93</v>
      </c>
    </row>
    <row r="18" spans="1:4" x14ac:dyDescent="0.3">
      <c r="A18">
        <v>96.21</v>
      </c>
      <c r="B18">
        <v>51.68</v>
      </c>
      <c r="C18">
        <v>81.91</v>
      </c>
      <c r="D18">
        <v>7.85</v>
      </c>
    </row>
    <row r="19" spans="1:4" x14ac:dyDescent="0.3">
      <c r="A19">
        <v>117.81</v>
      </c>
      <c r="B19">
        <v>53.31</v>
      </c>
      <c r="C19">
        <v>74.81</v>
      </c>
      <c r="D19">
        <v>7.23</v>
      </c>
    </row>
    <row r="20" spans="1:4" x14ac:dyDescent="0.3">
      <c r="A20">
        <v>98.78</v>
      </c>
      <c r="B20">
        <v>49.88</v>
      </c>
      <c r="C20">
        <v>86.49</v>
      </c>
      <c r="D20">
        <v>7.64</v>
      </c>
    </row>
    <row r="21" spans="1:4" x14ac:dyDescent="0.3">
      <c r="A21">
        <v>97.68</v>
      </c>
      <c r="B21">
        <v>51.59</v>
      </c>
      <c r="C21">
        <v>80.66</v>
      </c>
      <c r="D21">
        <v>7.07</v>
      </c>
    </row>
    <row r="22" spans="1:4" x14ac:dyDescent="0.3">
      <c r="A22">
        <v>181.37</v>
      </c>
      <c r="B22">
        <v>9130.7900000000009</v>
      </c>
      <c r="C22">
        <v>150.38</v>
      </c>
      <c r="D22">
        <v>7.83</v>
      </c>
    </row>
    <row r="23" spans="1:4" x14ac:dyDescent="0.3">
      <c r="A23">
        <v>97.95</v>
      </c>
      <c r="B23">
        <v>70.709999999999994</v>
      </c>
      <c r="C23">
        <v>82.52</v>
      </c>
      <c r="D23">
        <v>7.89</v>
      </c>
    </row>
    <row r="24" spans="1:4" x14ac:dyDescent="0.3">
      <c r="A24">
        <v>105.04</v>
      </c>
      <c r="B24">
        <v>57.48</v>
      </c>
      <c r="C24">
        <v>89.5</v>
      </c>
      <c r="D24">
        <v>13.08</v>
      </c>
    </row>
    <row r="25" spans="1:4" x14ac:dyDescent="0.3">
      <c r="A25">
        <v>89.78</v>
      </c>
      <c r="B25">
        <v>50.52</v>
      </c>
      <c r="C25">
        <v>75.900000000000006</v>
      </c>
      <c r="D25">
        <v>7.91</v>
      </c>
    </row>
    <row r="26" spans="1:4" x14ac:dyDescent="0.3">
      <c r="A26">
        <v>86.29</v>
      </c>
      <c r="B26">
        <v>50.04</v>
      </c>
      <c r="C26">
        <v>75.31</v>
      </c>
      <c r="D26">
        <v>7.76</v>
      </c>
    </row>
    <row r="27" spans="1:4" x14ac:dyDescent="0.3">
      <c r="A27">
        <v>177.05</v>
      </c>
      <c r="B27">
        <v>180.69</v>
      </c>
      <c r="C27">
        <v>9145.5300000000007</v>
      </c>
      <c r="D27">
        <v>12.19</v>
      </c>
    </row>
    <row r="28" spans="1:4" x14ac:dyDescent="0.3">
      <c r="A28">
        <v>106.91</v>
      </c>
      <c r="B28">
        <v>67.05</v>
      </c>
      <c r="C28">
        <v>85.48</v>
      </c>
      <c r="D28">
        <v>9.2899999999999991</v>
      </c>
    </row>
    <row r="29" spans="1:4" x14ac:dyDescent="0.3">
      <c r="A29">
        <v>102.27</v>
      </c>
      <c r="B29">
        <v>58.73</v>
      </c>
      <c r="C29">
        <v>76.77</v>
      </c>
      <c r="D29">
        <v>18.02</v>
      </c>
    </row>
    <row r="30" spans="1:4" x14ac:dyDescent="0.3">
      <c r="A30">
        <v>99.26</v>
      </c>
      <c r="B30">
        <v>51.55</v>
      </c>
      <c r="C30">
        <v>81.48</v>
      </c>
      <c r="D30">
        <v>9.07</v>
      </c>
    </row>
    <row r="31" spans="1:4" x14ac:dyDescent="0.3">
      <c r="A31">
        <v>95.55</v>
      </c>
      <c r="B31">
        <v>49.44</v>
      </c>
      <c r="C31">
        <v>79.209999999999994</v>
      </c>
      <c r="D31">
        <v>9.16</v>
      </c>
    </row>
    <row r="32" spans="1:4" x14ac:dyDescent="0.3">
      <c r="A32">
        <v>203.7</v>
      </c>
      <c r="B32">
        <v>181.03</v>
      </c>
      <c r="C32">
        <v>9596.44</v>
      </c>
      <c r="D32">
        <v>11.54</v>
      </c>
    </row>
    <row r="33" spans="1:4" x14ac:dyDescent="0.3">
      <c r="A33">
        <v>100.13</v>
      </c>
      <c r="B33">
        <v>69.239999999999995</v>
      </c>
      <c r="C33">
        <v>102.36</v>
      </c>
      <c r="D33">
        <v>8.33</v>
      </c>
    </row>
    <row r="34" spans="1:4" x14ac:dyDescent="0.3">
      <c r="A34">
        <v>104.99</v>
      </c>
      <c r="B34">
        <v>54.97</v>
      </c>
      <c r="C34">
        <v>77.45</v>
      </c>
      <c r="D34">
        <v>8.5</v>
      </c>
    </row>
    <row r="35" spans="1:4" x14ac:dyDescent="0.3">
      <c r="A35">
        <v>90.12</v>
      </c>
      <c r="B35">
        <v>56.51</v>
      </c>
      <c r="C35">
        <v>111.2</v>
      </c>
      <c r="D35">
        <v>8.77</v>
      </c>
    </row>
    <row r="36" spans="1:4" x14ac:dyDescent="0.3">
      <c r="A36">
        <v>90.13</v>
      </c>
      <c r="B36">
        <v>55.22</v>
      </c>
      <c r="C36">
        <v>78.650000000000006</v>
      </c>
      <c r="D36">
        <v>8.82</v>
      </c>
    </row>
    <row r="37" spans="1:4" x14ac:dyDescent="0.3">
      <c r="A37">
        <v>149.85</v>
      </c>
      <c r="B37">
        <v>163.07</v>
      </c>
      <c r="C37">
        <v>137.31</v>
      </c>
      <c r="D37">
        <v>7.19</v>
      </c>
    </row>
    <row r="38" spans="1:4" x14ac:dyDescent="0.3">
      <c r="A38">
        <v>90.8</v>
      </c>
      <c r="B38">
        <v>58.34</v>
      </c>
      <c r="C38">
        <v>75.959999999999994</v>
      </c>
      <c r="D38">
        <v>7.45</v>
      </c>
    </row>
    <row r="39" spans="1:4" x14ac:dyDescent="0.3">
      <c r="A39">
        <v>93.23</v>
      </c>
      <c r="B39">
        <v>57.96</v>
      </c>
      <c r="C39">
        <v>82.29</v>
      </c>
      <c r="D39">
        <v>11.04</v>
      </c>
    </row>
    <row r="40" spans="1:4" x14ac:dyDescent="0.3">
      <c r="A40">
        <v>105.23</v>
      </c>
      <c r="B40">
        <v>50.05</v>
      </c>
      <c r="C40">
        <v>79.48</v>
      </c>
      <c r="D40">
        <v>7.27</v>
      </c>
    </row>
    <row r="41" spans="1:4" x14ac:dyDescent="0.3">
      <c r="A41">
        <v>89.02</v>
      </c>
      <c r="B41">
        <v>56.82</v>
      </c>
      <c r="C41">
        <v>77.209999999999994</v>
      </c>
      <c r="D41">
        <v>7.76</v>
      </c>
    </row>
    <row r="42" spans="1:4" x14ac:dyDescent="0.3">
      <c r="A42">
        <v>853.96</v>
      </c>
      <c r="B42">
        <v>48.25</v>
      </c>
      <c r="C42">
        <v>71.790000000000006</v>
      </c>
      <c r="D42">
        <v>439.69</v>
      </c>
    </row>
    <row r="43" spans="1:4" x14ac:dyDescent="0.3">
      <c r="A43">
        <v>866.86</v>
      </c>
      <c r="B43">
        <v>58</v>
      </c>
      <c r="C43">
        <v>70.52</v>
      </c>
      <c r="D43">
        <v>455.93</v>
      </c>
    </row>
    <row r="44" spans="1:4" x14ac:dyDescent="0.3">
      <c r="A44">
        <v>846.42</v>
      </c>
      <c r="B44">
        <v>44.46</v>
      </c>
      <c r="C44">
        <v>76.94</v>
      </c>
      <c r="D44">
        <v>449.22</v>
      </c>
    </row>
    <row r="45" spans="1:4" x14ac:dyDescent="0.3">
      <c r="A45">
        <v>864.16</v>
      </c>
      <c r="B45">
        <v>35.1</v>
      </c>
      <c r="C45">
        <v>41.92</v>
      </c>
      <c r="D45">
        <v>432.21</v>
      </c>
    </row>
    <row r="46" spans="1:4" x14ac:dyDescent="0.3">
      <c r="A46">
        <v>867.17</v>
      </c>
      <c r="B46">
        <v>43</v>
      </c>
      <c r="C46">
        <v>41.84</v>
      </c>
      <c r="D46">
        <v>478.75</v>
      </c>
    </row>
    <row r="47" spans="1:4" x14ac:dyDescent="0.3">
      <c r="A47">
        <v>152.28</v>
      </c>
      <c r="B47">
        <v>148.12</v>
      </c>
      <c r="C47">
        <v>133.52000000000001</v>
      </c>
      <c r="D47">
        <v>7.94</v>
      </c>
    </row>
    <row r="48" spans="1:4" x14ac:dyDescent="0.3">
      <c r="A48">
        <v>92.1</v>
      </c>
      <c r="B48">
        <v>48.98</v>
      </c>
      <c r="C48">
        <v>114.41</v>
      </c>
      <c r="D48">
        <v>7.67</v>
      </c>
    </row>
    <row r="49" spans="1:4" x14ac:dyDescent="0.3">
      <c r="A49">
        <v>99.71</v>
      </c>
      <c r="B49">
        <v>53.99</v>
      </c>
      <c r="C49">
        <v>84.3</v>
      </c>
      <c r="D49">
        <v>9.18</v>
      </c>
    </row>
    <row r="50" spans="1:4" x14ac:dyDescent="0.3">
      <c r="A50">
        <v>91.59</v>
      </c>
      <c r="B50">
        <v>50.36</v>
      </c>
      <c r="C50">
        <v>80.05</v>
      </c>
      <c r="D50">
        <v>7.93</v>
      </c>
    </row>
    <row r="51" spans="1:4" x14ac:dyDescent="0.3">
      <c r="A51">
        <v>98.62</v>
      </c>
      <c r="B51">
        <v>46.45</v>
      </c>
      <c r="C51">
        <v>78.19</v>
      </c>
      <c r="D51">
        <v>7.77</v>
      </c>
    </row>
    <row r="52" spans="1:4" x14ac:dyDescent="0.3">
      <c r="A52">
        <v>186.78</v>
      </c>
      <c r="B52">
        <v>170.93</v>
      </c>
      <c r="C52">
        <v>143.49</v>
      </c>
      <c r="D52">
        <v>8.3800000000000008</v>
      </c>
    </row>
    <row r="53" spans="1:4" x14ac:dyDescent="0.3">
      <c r="A53">
        <v>9021.16</v>
      </c>
      <c r="B53">
        <v>109.27</v>
      </c>
      <c r="C53">
        <v>105.96</v>
      </c>
      <c r="D53">
        <v>10.28</v>
      </c>
    </row>
    <row r="54" spans="1:4" x14ac:dyDescent="0.3">
      <c r="A54">
        <v>98.01</v>
      </c>
      <c r="B54">
        <v>61.26</v>
      </c>
      <c r="C54">
        <v>75.709999999999994</v>
      </c>
      <c r="D54">
        <v>7.91</v>
      </c>
    </row>
    <row r="55" spans="1:4" x14ac:dyDescent="0.3">
      <c r="A55">
        <v>87.32</v>
      </c>
      <c r="B55">
        <v>48.78</v>
      </c>
      <c r="C55">
        <v>77.03</v>
      </c>
      <c r="D55">
        <v>8.5399999999999991</v>
      </c>
    </row>
    <row r="56" spans="1:4" x14ac:dyDescent="0.3">
      <c r="A56">
        <v>90.62</v>
      </c>
      <c r="B56">
        <v>49.13</v>
      </c>
      <c r="C56">
        <v>74.42</v>
      </c>
      <c r="D56">
        <v>8.15</v>
      </c>
    </row>
    <row r="57" spans="1:4" x14ac:dyDescent="0.3">
      <c r="A57">
        <v>190.01</v>
      </c>
      <c r="B57">
        <v>181.71</v>
      </c>
      <c r="C57">
        <v>9335.19</v>
      </c>
      <c r="D57">
        <v>13.57</v>
      </c>
    </row>
    <row r="58" spans="1:4" x14ac:dyDescent="0.3">
      <c r="A58">
        <v>146.04</v>
      </c>
      <c r="B58">
        <v>69.72</v>
      </c>
      <c r="C58">
        <v>80.17</v>
      </c>
      <c r="D58">
        <v>7.87</v>
      </c>
    </row>
    <row r="59" spans="1:4" x14ac:dyDescent="0.3">
      <c r="A59">
        <v>104.4</v>
      </c>
      <c r="B59">
        <v>56.19</v>
      </c>
      <c r="C59">
        <v>84.58</v>
      </c>
      <c r="D59">
        <v>10.73</v>
      </c>
    </row>
    <row r="60" spans="1:4" x14ac:dyDescent="0.3">
      <c r="A60">
        <v>84.43</v>
      </c>
      <c r="B60">
        <v>51.92</v>
      </c>
      <c r="C60">
        <v>77.14</v>
      </c>
      <c r="D60">
        <v>7.79</v>
      </c>
    </row>
    <row r="61" spans="1:4" x14ac:dyDescent="0.3">
      <c r="A61">
        <v>86.16</v>
      </c>
      <c r="B61">
        <v>49.74</v>
      </c>
      <c r="C61">
        <v>80.45</v>
      </c>
      <c r="D61">
        <v>8.44</v>
      </c>
    </row>
    <row r="62" spans="1:4" x14ac:dyDescent="0.3">
      <c r="A62">
        <v>91.88</v>
      </c>
      <c r="B62">
        <v>120.44</v>
      </c>
      <c r="C62">
        <v>121.62</v>
      </c>
      <c r="D62">
        <v>7.95</v>
      </c>
    </row>
    <row r="63" spans="1:4" x14ac:dyDescent="0.3">
      <c r="A63">
        <v>8800.5400000000009</v>
      </c>
      <c r="B63">
        <v>94.38</v>
      </c>
      <c r="C63">
        <v>80.47</v>
      </c>
      <c r="D63">
        <v>10.02</v>
      </c>
    </row>
    <row r="64" spans="1:4" x14ac:dyDescent="0.3">
      <c r="A64">
        <v>89.65</v>
      </c>
      <c r="B64">
        <v>51.35</v>
      </c>
      <c r="C64">
        <v>80.209999999999994</v>
      </c>
      <c r="D64">
        <v>7.41</v>
      </c>
    </row>
    <row r="65" spans="1:4" x14ac:dyDescent="0.3">
      <c r="A65">
        <v>96.87</v>
      </c>
      <c r="B65">
        <v>48.78</v>
      </c>
      <c r="C65">
        <v>76.739999999999995</v>
      </c>
      <c r="D65">
        <v>7.61</v>
      </c>
    </row>
    <row r="66" spans="1:4" x14ac:dyDescent="0.3">
      <c r="A66">
        <v>82.09</v>
      </c>
      <c r="B66">
        <v>60.68</v>
      </c>
      <c r="C66">
        <v>79.58</v>
      </c>
      <c r="D66">
        <v>16.37</v>
      </c>
    </row>
    <row r="67" spans="1:4" x14ac:dyDescent="0.3">
      <c r="A67">
        <v>229.52</v>
      </c>
      <c r="B67">
        <v>223.4</v>
      </c>
      <c r="C67">
        <v>214.26</v>
      </c>
      <c r="D67">
        <v>8.52</v>
      </c>
    </row>
    <row r="68" spans="1:4" x14ac:dyDescent="0.3">
      <c r="A68">
        <v>122.25</v>
      </c>
      <c r="B68">
        <v>110.25</v>
      </c>
      <c r="C68">
        <v>125.94</v>
      </c>
      <c r="D68">
        <v>8.2100000000000009</v>
      </c>
    </row>
    <row r="69" spans="1:4" x14ac:dyDescent="0.3">
      <c r="A69">
        <v>109.51</v>
      </c>
      <c r="B69">
        <v>83.28</v>
      </c>
      <c r="C69">
        <v>116.5</v>
      </c>
      <c r="D69">
        <v>8.39</v>
      </c>
    </row>
    <row r="70" spans="1:4" x14ac:dyDescent="0.3">
      <c r="A70">
        <v>93.29</v>
      </c>
      <c r="B70">
        <v>54.8</v>
      </c>
      <c r="C70">
        <v>108.25</v>
      </c>
      <c r="D70">
        <v>8.5500000000000007</v>
      </c>
    </row>
    <row r="71" spans="1:4" x14ac:dyDescent="0.3">
      <c r="A71">
        <v>97.16</v>
      </c>
      <c r="B71">
        <v>70.53</v>
      </c>
      <c r="C71">
        <v>111.89</v>
      </c>
      <c r="D71">
        <v>8.39</v>
      </c>
    </row>
    <row r="72" spans="1:4" x14ac:dyDescent="0.3">
      <c r="A72">
        <v>106.4</v>
      </c>
      <c r="B72">
        <v>106.3</v>
      </c>
      <c r="C72">
        <v>132.63</v>
      </c>
      <c r="D72">
        <v>7.52</v>
      </c>
    </row>
    <row r="73" spans="1:4" x14ac:dyDescent="0.3">
      <c r="A73">
        <v>97.24</v>
      </c>
      <c r="B73">
        <v>44.13</v>
      </c>
      <c r="C73">
        <v>75.59</v>
      </c>
      <c r="D73">
        <v>13.78</v>
      </c>
    </row>
    <row r="74" spans="1:4" x14ac:dyDescent="0.3">
      <c r="A74">
        <v>94.66</v>
      </c>
      <c r="B74">
        <v>45.09</v>
      </c>
      <c r="C74">
        <v>84.15</v>
      </c>
      <c r="D74">
        <v>6.9</v>
      </c>
    </row>
    <row r="75" spans="1:4" x14ac:dyDescent="0.3">
      <c r="A75">
        <v>104.34</v>
      </c>
      <c r="B75">
        <v>46.74</v>
      </c>
      <c r="C75">
        <v>79.709999999999994</v>
      </c>
      <c r="D75">
        <v>7.48</v>
      </c>
    </row>
    <row r="76" spans="1:4" x14ac:dyDescent="0.3">
      <c r="A76">
        <v>87.83</v>
      </c>
      <c r="B76">
        <v>47.12</v>
      </c>
      <c r="C76">
        <v>8868.36</v>
      </c>
      <c r="D76">
        <v>8.1199999999999992</v>
      </c>
    </row>
    <row r="77" spans="1:4" x14ac:dyDescent="0.3">
      <c r="A77">
        <v>9350.0400000000009</v>
      </c>
      <c r="B77">
        <v>181.42</v>
      </c>
      <c r="C77">
        <v>134.27000000000001</v>
      </c>
      <c r="D77">
        <v>16.440000000000001</v>
      </c>
    </row>
    <row r="78" spans="1:4" x14ac:dyDescent="0.3">
      <c r="A78">
        <v>106.84</v>
      </c>
      <c r="B78">
        <v>57.21</v>
      </c>
      <c r="C78">
        <v>86.27</v>
      </c>
      <c r="D78">
        <v>7.37</v>
      </c>
    </row>
    <row r="79" spans="1:4" x14ac:dyDescent="0.3">
      <c r="A79">
        <v>108.26</v>
      </c>
      <c r="B79">
        <v>55.89</v>
      </c>
      <c r="C79">
        <v>78.569999999999993</v>
      </c>
      <c r="D79">
        <v>6.79</v>
      </c>
    </row>
    <row r="80" spans="1:4" x14ac:dyDescent="0.3">
      <c r="A80">
        <v>94.03</v>
      </c>
      <c r="B80">
        <v>79.03</v>
      </c>
      <c r="C80">
        <v>76.41</v>
      </c>
      <c r="D80">
        <v>6.92</v>
      </c>
    </row>
    <row r="81" spans="1:4" x14ac:dyDescent="0.3">
      <c r="A81">
        <v>98.03</v>
      </c>
      <c r="B81">
        <v>81.03</v>
      </c>
      <c r="C81">
        <v>86.28</v>
      </c>
      <c r="D81">
        <v>7.77</v>
      </c>
    </row>
    <row r="82" spans="1:4" x14ac:dyDescent="0.3">
      <c r="A82">
        <v>98.98</v>
      </c>
      <c r="B82">
        <v>119.82</v>
      </c>
      <c r="C82">
        <v>125.16</v>
      </c>
      <c r="D82">
        <v>8.1</v>
      </c>
    </row>
    <row r="83" spans="1:4" x14ac:dyDescent="0.3">
      <c r="A83">
        <v>8917.51</v>
      </c>
      <c r="B83">
        <v>107.09</v>
      </c>
      <c r="C83">
        <v>80.58</v>
      </c>
      <c r="D83">
        <v>8.3000000000000007</v>
      </c>
    </row>
    <row r="84" spans="1:4" x14ac:dyDescent="0.3">
      <c r="A84">
        <v>91.75</v>
      </c>
      <c r="B84">
        <v>51.21</v>
      </c>
      <c r="C84">
        <v>76.81</v>
      </c>
      <c r="D84">
        <v>7.12</v>
      </c>
    </row>
    <row r="85" spans="1:4" x14ac:dyDescent="0.3">
      <c r="A85">
        <v>101.25</v>
      </c>
      <c r="B85">
        <v>108.03</v>
      </c>
      <c r="C85">
        <v>74.2</v>
      </c>
      <c r="D85">
        <v>15.91</v>
      </c>
    </row>
    <row r="86" spans="1:4" x14ac:dyDescent="0.3">
      <c r="A86">
        <v>94.37</v>
      </c>
      <c r="B86">
        <v>49.15</v>
      </c>
      <c r="C86">
        <v>86.36</v>
      </c>
      <c r="D86">
        <v>7.92</v>
      </c>
    </row>
    <row r="87" spans="1:4" x14ac:dyDescent="0.3">
      <c r="A87">
        <v>211.31</v>
      </c>
      <c r="B87">
        <v>189.41</v>
      </c>
      <c r="C87">
        <v>169.38</v>
      </c>
      <c r="D87">
        <v>10.27</v>
      </c>
    </row>
    <row r="88" spans="1:4" x14ac:dyDescent="0.3">
      <c r="A88">
        <v>114.15</v>
      </c>
      <c r="B88">
        <v>85.62</v>
      </c>
      <c r="C88">
        <v>107.65</v>
      </c>
      <c r="D88">
        <v>10.23</v>
      </c>
    </row>
    <row r="89" spans="1:4" x14ac:dyDescent="0.3">
      <c r="A89">
        <v>111.8</v>
      </c>
      <c r="B89">
        <v>73.8</v>
      </c>
      <c r="C89">
        <v>83.59</v>
      </c>
      <c r="D89">
        <v>8.42</v>
      </c>
    </row>
    <row r="90" spans="1:4" x14ac:dyDescent="0.3">
      <c r="A90">
        <v>96.7</v>
      </c>
      <c r="B90">
        <v>58.72</v>
      </c>
      <c r="C90">
        <v>95.15</v>
      </c>
      <c r="D90">
        <v>8.82</v>
      </c>
    </row>
    <row r="91" spans="1:4" x14ac:dyDescent="0.3">
      <c r="A91">
        <v>109.21</v>
      </c>
      <c r="B91">
        <v>73.150000000000006</v>
      </c>
      <c r="C91">
        <v>109.46</v>
      </c>
      <c r="D91">
        <v>8.5</v>
      </c>
    </row>
    <row r="92" spans="1:4" x14ac:dyDescent="0.3">
      <c r="A92">
        <v>147.75</v>
      </c>
      <c r="B92">
        <v>108.25</v>
      </c>
      <c r="C92">
        <v>133.63</v>
      </c>
      <c r="D92">
        <v>10.1</v>
      </c>
    </row>
    <row r="93" spans="1:4" x14ac:dyDescent="0.3">
      <c r="A93">
        <v>137.69</v>
      </c>
      <c r="B93">
        <v>46.85</v>
      </c>
      <c r="C93">
        <v>83.85</v>
      </c>
      <c r="D93">
        <v>8.18</v>
      </c>
    </row>
    <row r="94" spans="1:4" x14ac:dyDescent="0.3">
      <c r="A94">
        <v>127.34</v>
      </c>
      <c r="B94">
        <v>53.59</v>
      </c>
      <c r="C94">
        <v>78.290000000000006</v>
      </c>
      <c r="D94">
        <v>10.39</v>
      </c>
    </row>
    <row r="95" spans="1:4" x14ac:dyDescent="0.3">
      <c r="A95">
        <v>120.9</v>
      </c>
      <c r="B95">
        <v>71.319999999999993</v>
      </c>
      <c r="C95">
        <v>83.56</v>
      </c>
      <c r="D95">
        <v>8.31</v>
      </c>
    </row>
    <row r="96" spans="1:4" x14ac:dyDescent="0.3">
      <c r="A96">
        <v>99.05</v>
      </c>
      <c r="B96">
        <v>54.91</v>
      </c>
      <c r="C96">
        <v>78.05</v>
      </c>
      <c r="D96">
        <v>9.52</v>
      </c>
    </row>
    <row r="97" spans="1:4" x14ac:dyDescent="0.3">
      <c r="A97">
        <v>165.68</v>
      </c>
      <c r="B97">
        <v>50.67</v>
      </c>
      <c r="C97">
        <v>149.12</v>
      </c>
      <c r="D97">
        <v>10.1</v>
      </c>
    </row>
    <row r="98" spans="1:4" x14ac:dyDescent="0.3">
      <c r="A98">
        <v>172.21</v>
      </c>
      <c r="B98">
        <v>51.67</v>
      </c>
      <c r="C98">
        <v>76.89</v>
      </c>
      <c r="D98">
        <v>10.97</v>
      </c>
    </row>
    <row r="99" spans="1:4" x14ac:dyDescent="0.3">
      <c r="A99">
        <v>161.38</v>
      </c>
      <c r="B99">
        <v>49.97</v>
      </c>
      <c r="C99">
        <v>77.62</v>
      </c>
      <c r="D99">
        <v>9.61</v>
      </c>
    </row>
    <row r="100" spans="1:4" x14ac:dyDescent="0.3">
      <c r="A100">
        <v>104.69</v>
      </c>
      <c r="B100">
        <v>50.94</v>
      </c>
      <c r="C100">
        <v>77.27</v>
      </c>
      <c r="D100">
        <v>9.2200000000000006</v>
      </c>
    </row>
    <row r="101" spans="1:4" x14ac:dyDescent="0.3">
      <c r="A101">
        <v>95.82</v>
      </c>
      <c r="B101">
        <v>50.79</v>
      </c>
      <c r="C101">
        <v>72.8</v>
      </c>
      <c r="D101">
        <v>8.59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1D85-9637-4C77-B561-7462EAD1A346}">
  <dimension ref="A1:M101"/>
  <sheetViews>
    <sheetView workbookViewId="0">
      <selection activeCell="H18" sqref="H18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298.89999999999998</v>
      </c>
      <c r="B2">
        <v>3.24</v>
      </c>
      <c r="C2">
        <v>328.81</v>
      </c>
      <c r="D2">
        <v>7.49</v>
      </c>
      <c r="H2" t="s">
        <v>19</v>
      </c>
      <c r="I2" s="4">
        <f>AVERAGE(A$2:A$101)</f>
        <v>358.30340000000001</v>
      </c>
      <c r="J2" s="4">
        <f>AVERAGE(B$2:B$101)</f>
        <v>5.8167999999999997</v>
      </c>
      <c r="K2" s="4">
        <f>AVERAGE(C$2:C$101)</f>
        <v>429.80150000000003</v>
      </c>
      <c r="L2" s="4">
        <f t="shared" ref="L2" si="0">AVERAGE(D$2:D$101)</f>
        <v>19.502699999999987</v>
      </c>
      <c r="M2" s="4"/>
    </row>
    <row r="3" spans="1:13" x14ac:dyDescent="0.3">
      <c r="A3">
        <v>349.8</v>
      </c>
      <c r="B3">
        <v>4.2300000000000004</v>
      </c>
      <c r="C3">
        <v>347.25</v>
      </c>
      <c r="D3">
        <v>8.4600000000000009</v>
      </c>
      <c r="H3" t="s">
        <v>17</v>
      </c>
      <c r="I3" s="4">
        <f>MEDIAN(A$2:A$101)</f>
        <v>347.58</v>
      </c>
      <c r="J3" s="4">
        <f t="shared" ref="J3:L3" si="1">MEDIAN(B$2:B$101)</f>
        <v>3.13</v>
      </c>
      <c r="K3" s="4">
        <f t="shared" si="1"/>
        <v>401.57499999999999</v>
      </c>
      <c r="L3" s="4">
        <f t="shared" si="1"/>
        <v>7.9949999999999992</v>
      </c>
      <c r="M3" s="4"/>
    </row>
    <row r="4" spans="1:13" x14ac:dyDescent="0.3">
      <c r="A4">
        <v>393.73</v>
      </c>
      <c r="B4">
        <v>3.75</v>
      </c>
      <c r="C4">
        <v>399.95</v>
      </c>
      <c r="D4">
        <v>8.23</v>
      </c>
      <c r="H4" t="s">
        <v>18</v>
      </c>
      <c r="I4" s="4">
        <f>_xlfn.STDEV.S(A$2:A$101)</f>
        <v>104.54502340922944</v>
      </c>
      <c r="J4" s="4">
        <f t="shared" ref="J4:L4" si="2">_xlfn.STDEV.S(B$2:B$101)</f>
        <v>9.4288944348012649</v>
      </c>
      <c r="K4" s="4">
        <f t="shared" si="2"/>
        <v>159.19725079078299</v>
      </c>
      <c r="L4" s="4">
        <f t="shared" si="2"/>
        <v>29.530414482445902</v>
      </c>
      <c r="M4" s="4"/>
    </row>
    <row r="5" spans="1:13" x14ac:dyDescent="0.3">
      <c r="A5">
        <v>343.57</v>
      </c>
      <c r="B5">
        <v>52.51</v>
      </c>
      <c r="C5">
        <v>404.33</v>
      </c>
      <c r="D5">
        <v>7.77</v>
      </c>
    </row>
    <row r="6" spans="1:13" x14ac:dyDescent="0.3">
      <c r="A6">
        <v>395.37</v>
      </c>
      <c r="B6">
        <v>3.49</v>
      </c>
      <c r="C6">
        <v>499.78</v>
      </c>
      <c r="D6">
        <v>97.07</v>
      </c>
    </row>
    <row r="7" spans="1:13" x14ac:dyDescent="0.3">
      <c r="A7">
        <v>299.72000000000003</v>
      </c>
      <c r="B7">
        <v>9.5399999999999991</v>
      </c>
      <c r="C7">
        <v>588.86</v>
      </c>
      <c r="D7">
        <v>8.1300000000000008</v>
      </c>
    </row>
    <row r="8" spans="1:13" x14ac:dyDescent="0.3">
      <c r="A8">
        <v>394.11</v>
      </c>
      <c r="B8">
        <v>3.52</v>
      </c>
      <c r="C8">
        <v>499.03</v>
      </c>
      <c r="D8">
        <v>8.39</v>
      </c>
    </row>
    <row r="9" spans="1:13" x14ac:dyDescent="0.3">
      <c r="A9">
        <v>355.48</v>
      </c>
      <c r="B9">
        <v>3.28</v>
      </c>
      <c r="C9">
        <v>537.85</v>
      </c>
      <c r="D9">
        <v>7.54</v>
      </c>
    </row>
    <row r="10" spans="1:13" x14ac:dyDescent="0.3">
      <c r="A10">
        <v>349.18</v>
      </c>
      <c r="B10">
        <v>3.32</v>
      </c>
      <c r="C10">
        <v>748.68</v>
      </c>
      <c r="D10">
        <v>95.47</v>
      </c>
    </row>
    <row r="11" spans="1:13" x14ac:dyDescent="0.3">
      <c r="A11">
        <v>695.66</v>
      </c>
      <c r="B11">
        <v>3.97</v>
      </c>
      <c r="C11">
        <v>797.08</v>
      </c>
      <c r="D11">
        <v>8.07</v>
      </c>
    </row>
    <row r="12" spans="1:13" x14ac:dyDescent="0.3">
      <c r="A12">
        <v>395.44</v>
      </c>
      <c r="B12">
        <v>9.68</v>
      </c>
      <c r="C12">
        <v>531.78</v>
      </c>
      <c r="D12">
        <v>8.26</v>
      </c>
    </row>
    <row r="13" spans="1:13" x14ac:dyDescent="0.3">
      <c r="A13">
        <v>359.27</v>
      </c>
      <c r="B13">
        <v>3.22</v>
      </c>
      <c r="C13">
        <v>338.23</v>
      </c>
      <c r="D13">
        <v>7.81</v>
      </c>
    </row>
    <row r="14" spans="1:13" x14ac:dyDescent="0.3">
      <c r="A14">
        <v>296.85000000000002</v>
      </c>
      <c r="B14">
        <v>3.63</v>
      </c>
      <c r="C14">
        <v>300.83</v>
      </c>
      <c r="D14">
        <v>16.170000000000002</v>
      </c>
    </row>
    <row r="15" spans="1:13" x14ac:dyDescent="0.3">
      <c r="A15">
        <v>456.58</v>
      </c>
      <c r="B15">
        <v>3.36</v>
      </c>
      <c r="C15">
        <v>542.66999999999996</v>
      </c>
      <c r="D15">
        <v>8.1</v>
      </c>
    </row>
    <row r="16" spans="1:13" x14ac:dyDescent="0.3">
      <c r="A16">
        <v>695.73</v>
      </c>
      <c r="B16">
        <v>4.08</v>
      </c>
      <c r="C16">
        <v>596.12</v>
      </c>
      <c r="D16">
        <v>7.74</v>
      </c>
    </row>
    <row r="17" spans="1:4" x14ac:dyDescent="0.3">
      <c r="A17">
        <v>239.88</v>
      </c>
      <c r="B17">
        <v>2.13</v>
      </c>
      <c r="C17">
        <v>521.80999999999995</v>
      </c>
      <c r="D17">
        <v>7.38</v>
      </c>
    </row>
    <row r="18" spans="1:4" x14ac:dyDescent="0.3">
      <c r="A18">
        <v>347.64</v>
      </c>
      <c r="B18">
        <v>2.46</v>
      </c>
      <c r="C18">
        <v>452.89</v>
      </c>
      <c r="D18">
        <v>94.2</v>
      </c>
    </row>
    <row r="19" spans="1:4" x14ac:dyDescent="0.3">
      <c r="A19">
        <v>344.34</v>
      </c>
      <c r="B19">
        <v>2.64</v>
      </c>
      <c r="C19">
        <v>446.4</v>
      </c>
      <c r="D19">
        <v>7.92</v>
      </c>
    </row>
    <row r="20" spans="1:4" x14ac:dyDescent="0.3">
      <c r="A20">
        <v>343.78</v>
      </c>
      <c r="B20">
        <v>52.65</v>
      </c>
      <c r="C20">
        <v>501.4</v>
      </c>
      <c r="D20">
        <v>7.36</v>
      </c>
    </row>
    <row r="21" spans="1:4" x14ac:dyDescent="0.3">
      <c r="A21">
        <v>460.1</v>
      </c>
      <c r="B21">
        <v>2.5499999999999998</v>
      </c>
      <c r="C21">
        <v>545.14</v>
      </c>
      <c r="D21">
        <v>90.76</v>
      </c>
    </row>
    <row r="22" spans="1:4" x14ac:dyDescent="0.3">
      <c r="A22">
        <v>252.66</v>
      </c>
      <c r="B22">
        <v>10.050000000000001</v>
      </c>
      <c r="C22">
        <v>201.93</v>
      </c>
      <c r="D22">
        <v>7.85</v>
      </c>
    </row>
    <row r="23" spans="1:4" x14ac:dyDescent="0.3">
      <c r="A23">
        <v>494.49</v>
      </c>
      <c r="B23">
        <v>3.17</v>
      </c>
      <c r="C23">
        <v>396.76</v>
      </c>
      <c r="D23">
        <v>8.4700000000000006</v>
      </c>
    </row>
    <row r="24" spans="1:4" x14ac:dyDescent="0.3">
      <c r="A24">
        <v>258.06</v>
      </c>
      <c r="B24">
        <v>3.15</v>
      </c>
      <c r="C24">
        <v>341.12</v>
      </c>
      <c r="D24">
        <v>8.56</v>
      </c>
    </row>
    <row r="25" spans="1:4" x14ac:dyDescent="0.3">
      <c r="A25">
        <v>257.41000000000003</v>
      </c>
      <c r="B25">
        <v>3.6</v>
      </c>
      <c r="C25">
        <v>244.11</v>
      </c>
      <c r="D25">
        <v>8.39</v>
      </c>
    </row>
    <row r="26" spans="1:4" x14ac:dyDescent="0.3">
      <c r="A26">
        <v>359.65</v>
      </c>
      <c r="B26">
        <v>3.56</v>
      </c>
      <c r="C26">
        <v>739.52</v>
      </c>
      <c r="D26">
        <v>94.8</v>
      </c>
    </row>
    <row r="27" spans="1:4" x14ac:dyDescent="0.3">
      <c r="A27">
        <v>461.64</v>
      </c>
      <c r="B27">
        <v>8.4499999999999993</v>
      </c>
      <c r="C27">
        <v>527.70000000000005</v>
      </c>
      <c r="D27">
        <v>6.95</v>
      </c>
    </row>
    <row r="28" spans="1:4" x14ac:dyDescent="0.3">
      <c r="A28">
        <v>392.23</v>
      </c>
      <c r="B28">
        <v>2.98</v>
      </c>
      <c r="C28">
        <v>607.89</v>
      </c>
      <c r="D28">
        <v>7.94</v>
      </c>
    </row>
    <row r="29" spans="1:4" x14ac:dyDescent="0.3">
      <c r="A29">
        <v>458.11</v>
      </c>
      <c r="B29">
        <v>2.2400000000000002</v>
      </c>
      <c r="C29">
        <v>635.85</v>
      </c>
      <c r="D29">
        <v>97.87</v>
      </c>
    </row>
    <row r="30" spans="1:4" x14ac:dyDescent="0.3">
      <c r="A30">
        <v>592.82000000000005</v>
      </c>
      <c r="B30">
        <v>2.76</v>
      </c>
      <c r="C30">
        <v>500.07</v>
      </c>
      <c r="D30">
        <v>6.65</v>
      </c>
    </row>
    <row r="31" spans="1:4" x14ac:dyDescent="0.3">
      <c r="A31">
        <v>296.60000000000002</v>
      </c>
      <c r="B31">
        <v>2.66</v>
      </c>
      <c r="C31">
        <v>301.79000000000002</v>
      </c>
      <c r="D31">
        <v>6.73</v>
      </c>
    </row>
    <row r="32" spans="1:4" x14ac:dyDescent="0.3">
      <c r="A32">
        <v>263.23</v>
      </c>
      <c r="B32">
        <v>8.56</v>
      </c>
      <c r="C32">
        <v>333.21</v>
      </c>
      <c r="D32">
        <v>7.86</v>
      </c>
    </row>
    <row r="33" spans="1:4" x14ac:dyDescent="0.3">
      <c r="A33">
        <v>250.17</v>
      </c>
      <c r="B33">
        <v>2.57</v>
      </c>
      <c r="C33">
        <v>349.35</v>
      </c>
      <c r="D33">
        <v>7.84</v>
      </c>
    </row>
    <row r="34" spans="1:4" x14ac:dyDescent="0.3">
      <c r="A34">
        <v>343.05</v>
      </c>
      <c r="B34">
        <v>2.73</v>
      </c>
      <c r="C34">
        <v>253.18</v>
      </c>
      <c r="D34">
        <v>7.95</v>
      </c>
    </row>
    <row r="35" spans="1:4" x14ac:dyDescent="0.3">
      <c r="A35">
        <v>345.79</v>
      </c>
      <c r="B35">
        <v>2.8</v>
      </c>
      <c r="C35">
        <v>351.59</v>
      </c>
      <c r="D35">
        <v>7.89</v>
      </c>
    </row>
    <row r="36" spans="1:4" x14ac:dyDescent="0.3">
      <c r="A36">
        <v>297.95999999999998</v>
      </c>
      <c r="B36">
        <v>3.17</v>
      </c>
      <c r="C36">
        <v>695.94</v>
      </c>
      <c r="D36">
        <v>99.75</v>
      </c>
    </row>
    <row r="37" spans="1:4" x14ac:dyDescent="0.3">
      <c r="A37">
        <v>270.02999999999997</v>
      </c>
      <c r="B37">
        <v>9.31</v>
      </c>
      <c r="C37">
        <v>334.44</v>
      </c>
      <c r="D37">
        <v>11.48</v>
      </c>
    </row>
    <row r="38" spans="1:4" x14ac:dyDescent="0.3">
      <c r="A38">
        <v>447.61</v>
      </c>
      <c r="B38">
        <v>2.29</v>
      </c>
      <c r="C38">
        <v>350.24</v>
      </c>
      <c r="D38">
        <v>94</v>
      </c>
    </row>
    <row r="39" spans="1:4" x14ac:dyDescent="0.3">
      <c r="A39">
        <v>393.09</v>
      </c>
      <c r="B39">
        <v>2.72</v>
      </c>
      <c r="C39">
        <v>303.13</v>
      </c>
      <c r="D39">
        <v>7.91</v>
      </c>
    </row>
    <row r="40" spans="1:4" x14ac:dyDescent="0.3">
      <c r="A40">
        <v>364.88</v>
      </c>
      <c r="B40">
        <v>3.25</v>
      </c>
      <c r="C40">
        <v>440.53</v>
      </c>
      <c r="D40">
        <v>6.97</v>
      </c>
    </row>
    <row r="41" spans="1:4" x14ac:dyDescent="0.3">
      <c r="A41">
        <v>356.22</v>
      </c>
      <c r="B41">
        <v>4.0999999999999996</v>
      </c>
      <c r="C41">
        <v>637.53</v>
      </c>
      <c r="D41">
        <v>6.95</v>
      </c>
    </row>
    <row r="42" spans="1:4" x14ac:dyDescent="0.3">
      <c r="A42">
        <v>368.8</v>
      </c>
      <c r="B42">
        <v>29.98</v>
      </c>
      <c r="C42">
        <v>501.15</v>
      </c>
      <c r="D42">
        <v>7.6</v>
      </c>
    </row>
    <row r="43" spans="1:4" x14ac:dyDescent="0.3">
      <c r="A43">
        <v>299.99</v>
      </c>
      <c r="B43">
        <v>5.46</v>
      </c>
      <c r="C43">
        <v>401.19</v>
      </c>
      <c r="D43">
        <v>7.92</v>
      </c>
    </row>
    <row r="44" spans="1:4" x14ac:dyDescent="0.3">
      <c r="A44">
        <v>394.08</v>
      </c>
      <c r="B44">
        <v>8.91</v>
      </c>
      <c r="C44">
        <v>395.66</v>
      </c>
      <c r="D44">
        <v>8.43</v>
      </c>
    </row>
    <row r="45" spans="1:4" x14ac:dyDescent="0.3">
      <c r="A45">
        <v>352.97</v>
      </c>
      <c r="B45">
        <v>4.1900000000000004</v>
      </c>
      <c r="C45">
        <v>345.17</v>
      </c>
      <c r="D45">
        <v>11.11</v>
      </c>
    </row>
    <row r="46" spans="1:4" x14ac:dyDescent="0.3">
      <c r="A46">
        <v>499.3</v>
      </c>
      <c r="B46">
        <v>4.26</v>
      </c>
      <c r="C46">
        <v>904.48</v>
      </c>
      <c r="D46">
        <v>91.21</v>
      </c>
    </row>
    <row r="47" spans="1:4" x14ac:dyDescent="0.3">
      <c r="A47">
        <v>316.98</v>
      </c>
      <c r="B47">
        <v>10.81</v>
      </c>
      <c r="C47">
        <v>424.22</v>
      </c>
      <c r="D47">
        <v>8.26</v>
      </c>
    </row>
    <row r="48" spans="1:4" x14ac:dyDescent="0.3">
      <c r="A48">
        <v>395.3</v>
      </c>
      <c r="B48">
        <v>3.35</v>
      </c>
      <c r="C48">
        <v>302.45</v>
      </c>
      <c r="D48">
        <v>7.59</v>
      </c>
    </row>
    <row r="49" spans="1:4" x14ac:dyDescent="0.3">
      <c r="A49">
        <v>296.92</v>
      </c>
      <c r="B49">
        <v>3.67</v>
      </c>
      <c r="C49">
        <v>599.5</v>
      </c>
      <c r="D49">
        <v>8.35</v>
      </c>
    </row>
    <row r="50" spans="1:4" x14ac:dyDescent="0.3">
      <c r="A50">
        <v>350.52</v>
      </c>
      <c r="B50">
        <v>3.88</v>
      </c>
      <c r="C50">
        <v>343.1</v>
      </c>
      <c r="D50">
        <v>7.77</v>
      </c>
    </row>
    <row r="51" spans="1:4" x14ac:dyDescent="0.3">
      <c r="A51">
        <v>496.18</v>
      </c>
      <c r="B51">
        <v>3.61</v>
      </c>
      <c r="C51">
        <v>803.92</v>
      </c>
      <c r="D51">
        <v>7.62</v>
      </c>
    </row>
    <row r="52" spans="1:4" x14ac:dyDescent="0.3">
      <c r="A52">
        <v>351.37</v>
      </c>
      <c r="B52">
        <v>7.9</v>
      </c>
      <c r="C52">
        <v>443.23</v>
      </c>
      <c r="D52">
        <v>7.55</v>
      </c>
    </row>
    <row r="53" spans="1:4" x14ac:dyDescent="0.3">
      <c r="A53">
        <v>361.25</v>
      </c>
      <c r="B53">
        <v>2.3199999999999998</v>
      </c>
      <c r="C53">
        <v>339.23</v>
      </c>
      <c r="D53">
        <v>9.0500000000000007</v>
      </c>
    </row>
    <row r="54" spans="1:4" x14ac:dyDescent="0.3">
      <c r="A54">
        <v>197.93</v>
      </c>
      <c r="B54">
        <v>2.74</v>
      </c>
      <c r="C54">
        <v>301.3</v>
      </c>
      <c r="D54">
        <v>8.34</v>
      </c>
    </row>
    <row r="55" spans="1:4" x14ac:dyDescent="0.3">
      <c r="A55">
        <v>349.29</v>
      </c>
      <c r="B55">
        <v>2.41</v>
      </c>
      <c r="C55">
        <v>444.08</v>
      </c>
      <c r="D55">
        <v>8.2200000000000006</v>
      </c>
    </row>
    <row r="56" spans="1:4" x14ac:dyDescent="0.3">
      <c r="A56">
        <v>596.20000000000005</v>
      </c>
      <c r="B56">
        <v>2.83</v>
      </c>
      <c r="C56">
        <v>797.99</v>
      </c>
      <c r="D56">
        <v>99.55</v>
      </c>
    </row>
    <row r="57" spans="1:4" x14ac:dyDescent="0.3">
      <c r="A57">
        <v>558.24</v>
      </c>
      <c r="B57">
        <v>9.09</v>
      </c>
      <c r="C57">
        <v>527.54999999999995</v>
      </c>
      <c r="D57">
        <v>7.94</v>
      </c>
    </row>
    <row r="58" spans="1:4" x14ac:dyDescent="0.3">
      <c r="A58">
        <v>345.01</v>
      </c>
      <c r="B58">
        <v>2.73</v>
      </c>
      <c r="C58">
        <v>446.35</v>
      </c>
      <c r="D58">
        <v>8.34</v>
      </c>
    </row>
    <row r="59" spans="1:4" x14ac:dyDescent="0.3">
      <c r="A59">
        <v>498.92</v>
      </c>
      <c r="B59">
        <v>3.04</v>
      </c>
      <c r="C59">
        <v>603.22</v>
      </c>
      <c r="D59">
        <v>93.73</v>
      </c>
    </row>
    <row r="60" spans="1:4" x14ac:dyDescent="0.3">
      <c r="A60">
        <v>454.92</v>
      </c>
      <c r="B60">
        <v>2.77</v>
      </c>
      <c r="C60">
        <v>347.5</v>
      </c>
      <c r="D60">
        <v>7.78</v>
      </c>
    </row>
    <row r="61" spans="1:4" x14ac:dyDescent="0.3">
      <c r="A61">
        <v>358.85</v>
      </c>
      <c r="B61">
        <v>3.07</v>
      </c>
      <c r="C61">
        <v>434.96</v>
      </c>
      <c r="D61">
        <v>8.0500000000000007</v>
      </c>
    </row>
    <row r="62" spans="1:4" x14ac:dyDescent="0.3">
      <c r="A62">
        <v>240.78</v>
      </c>
      <c r="B62">
        <v>2.78</v>
      </c>
      <c r="C62">
        <v>235.34</v>
      </c>
      <c r="D62">
        <v>8.0399999999999991</v>
      </c>
    </row>
    <row r="63" spans="1:4" x14ac:dyDescent="0.3">
      <c r="A63">
        <v>446.22</v>
      </c>
      <c r="B63">
        <v>3.29</v>
      </c>
      <c r="C63">
        <v>448.84</v>
      </c>
      <c r="D63">
        <v>8.24</v>
      </c>
    </row>
    <row r="64" spans="1:4" x14ac:dyDescent="0.3">
      <c r="A64">
        <v>347.52</v>
      </c>
      <c r="B64">
        <v>3.2</v>
      </c>
      <c r="C64">
        <v>349.98</v>
      </c>
      <c r="D64">
        <v>8.1</v>
      </c>
    </row>
    <row r="65" spans="1:4" x14ac:dyDescent="0.3">
      <c r="A65">
        <v>246.69</v>
      </c>
      <c r="B65">
        <v>2.95</v>
      </c>
      <c r="C65">
        <v>353.16</v>
      </c>
      <c r="D65">
        <v>9.43</v>
      </c>
    </row>
    <row r="66" spans="1:4" x14ac:dyDescent="0.3">
      <c r="A66">
        <v>394.66</v>
      </c>
      <c r="B66">
        <v>4.29</v>
      </c>
      <c r="C66">
        <v>502.5</v>
      </c>
      <c r="D66">
        <v>8.61</v>
      </c>
    </row>
    <row r="67" spans="1:4" x14ac:dyDescent="0.3">
      <c r="A67">
        <v>192.63</v>
      </c>
      <c r="B67">
        <v>7.28</v>
      </c>
      <c r="C67">
        <v>333.56</v>
      </c>
      <c r="D67">
        <v>6.48</v>
      </c>
    </row>
    <row r="68" spans="1:4" x14ac:dyDescent="0.3">
      <c r="A68">
        <v>445</v>
      </c>
      <c r="B68">
        <v>2.16</v>
      </c>
      <c r="C68">
        <v>350.43</v>
      </c>
      <c r="D68">
        <v>6.95</v>
      </c>
    </row>
    <row r="69" spans="1:4" x14ac:dyDescent="0.3">
      <c r="A69">
        <v>254.45</v>
      </c>
      <c r="B69">
        <v>2.3199999999999998</v>
      </c>
      <c r="C69">
        <v>246.36</v>
      </c>
      <c r="D69">
        <v>6.81</v>
      </c>
    </row>
    <row r="70" spans="1:4" x14ac:dyDescent="0.3">
      <c r="A70">
        <v>397.29</v>
      </c>
      <c r="B70">
        <v>2.5499999999999998</v>
      </c>
      <c r="C70">
        <v>302.24</v>
      </c>
      <c r="D70">
        <v>7.52</v>
      </c>
    </row>
    <row r="71" spans="1:4" x14ac:dyDescent="0.3">
      <c r="A71">
        <v>496.19</v>
      </c>
      <c r="B71">
        <v>2.4900000000000002</v>
      </c>
      <c r="C71">
        <v>605.98</v>
      </c>
      <c r="D71">
        <v>7.11</v>
      </c>
    </row>
    <row r="72" spans="1:4" x14ac:dyDescent="0.3">
      <c r="A72">
        <v>215.15</v>
      </c>
      <c r="B72">
        <v>2.14</v>
      </c>
      <c r="C72">
        <v>238.12</v>
      </c>
      <c r="D72">
        <v>7.36</v>
      </c>
    </row>
    <row r="73" spans="1:4" x14ac:dyDescent="0.3">
      <c r="A73">
        <v>320.85000000000002</v>
      </c>
      <c r="B73">
        <v>2.2999999999999998</v>
      </c>
      <c r="C73">
        <v>451.02</v>
      </c>
      <c r="D73">
        <v>7.13</v>
      </c>
    </row>
    <row r="74" spans="1:4" x14ac:dyDescent="0.3">
      <c r="A74">
        <v>244.22</v>
      </c>
      <c r="B74">
        <v>2.4700000000000002</v>
      </c>
      <c r="C74">
        <v>355.5</v>
      </c>
      <c r="D74">
        <v>7.34</v>
      </c>
    </row>
    <row r="75" spans="1:4" x14ac:dyDescent="0.3">
      <c r="A75">
        <v>249.51</v>
      </c>
      <c r="B75">
        <v>2.59</v>
      </c>
      <c r="C75">
        <v>448.41</v>
      </c>
      <c r="D75">
        <v>7.12</v>
      </c>
    </row>
    <row r="76" spans="1:4" x14ac:dyDescent="0.3">
      <c r="A76">
        <v>243.61</v>
      </c>
      <c r="B76">
        <v>54.41</v>
      </c>
      <c r="C76">
        <v>404.88</v>
      </c>
      <c r="D76">
        <v>7.13</v>
      </c>
    </row>
    <row r="77" spans="1:4" x14ac:dyDescent="0.3">
      <c r="A77">
        <v>556.70000000000005</v>
      </c>
      <c r="B77">
        <v>10.33</v>
      </c>
      <c r="C77">
        <v>531.57000000000005</v>
      </c>
      <c r="D77">
        <v>7.65</v>
      </c>
    </row>
    <row r="78" spans="1:4" x14ac:dyDescent="0.3">
      <c r="A78">
        <v>264.77999999999997</v>
      </c>
      <c r="B78">
        <v>2.92</v>
      </c>
      <c r="C78">
        <v>431.84</v>
      </c>
      <c r="D78">
        <v>93.8</v>
      </c>
    </row>
    <row r="79" spans="1:4" x14ac:dyDescent="0.3">
      <c r="A79">
        <v>295.95</v>
      </c>
      <c r="B79">
        <v>3.13</v>
      </c>
      <c r="C79">
        <v>798.69</v>
      </c>
      <c r="D79">
        <v>97.73</v>
      </c>
    </row>
    <row r="80" spans="1:4" x14ac:dyDescent="0.3">
      <c r="A80">
        <v>562.16</v>
      </c>
      <c r="B80">
        <v>31.46</v>
      </c>
      <c r="C80">
        <v>619.76</v>
      </c>
      <c r="D80">
        <v>11.08</v>
      </c>
    </row>
    <row r="81" spans="1:4" x14ac:dyDescent="0.3">
      <c r="A81">
        <v>281.20999999999998</v>
      </c>
      <c r="B81">
        <v>3.18</v>
      </c>
      <c r="C81">
        <v>419.3</v>
      </c>
      <c r="D81">
        <v>16.78</v>
      </c>
    </row>
    <row r="82" spans="1:4" x14ac:dyDescent="0.3">
      <c r="A82">
        <v>339.54</v>
      </c>
      <c r="B82">
        <v>3.03</v>
      </c>
      <c r="C82">
        <v>429.56</v>
      </c>
      <c r="D82">
        <v>7.86</v>
      </c>
    </row>
    <row r="83" spans="1:4" x14ac:dyDescent="0.3">
      <c r="A83">
        <v>344.16</v>
      </c>
      <c r="B83">
        <v>3.07</v>
      </c>
      <c r="C83">
        <v>449.97</v>
      </c>
      <c r="D83">
        <v>8.1</v>
      </c>
    </row>
    <row r="84" spans="1:4" x14ac:dyDescent="0.3">
      <c r="A84">
        <v>395.31</v>
      </c>
      <c r="B84">
        <v>3.32</v>
      </c>
      <c r="C84">
        <v>401.96</v>
      </c>
      <c r="D84">
        <v>7.78</v>
      </c>
    </row>
    <row r="85" spans="1:4" x14ac:dyDescent="0.3">
      <c r="A85">
        <v>351.69</v>
      </c>
      <c r="B85">
        <v>3.01</v>
      </c>
      <c r="C85">
        <v>346.21</v>
      </c>
      <c r="D85">
        <v>8.07</v>
      </c>
    </row>
    <row r="86" spans="1:4" x14ac:dyDescent="0.3">
      <c r="A86">
        <v>595.1</v>
      </c>
      <c r="B86">
        <v>3.45</v>
      </c>
      <c r="C86">
        <v>801.26</v>
      </c>
      <c r="D86">
        <v>8.69</v>
      </c>
    </row>
    <row r="87" spans="1:4" x14ac:dyDescent="0.3">
      <c r="A87">
        <v>306.74</v>
      </c>
      <c r="B87">
        <v>2.56</v>
      </c>
      <c r="C87">
        <v>293.77999999999997</v>
      </c>
      <c r="D87">
        <v>8.34</v>
      </c>
    </row>
    <row r="88" spans="1:4" x14ac:dyDescent="0.3">
      <c r="A88">
        <v>246.97</v>
      </c>
      <c r="B88">
        <v>2.4500000000000002</v>
      </c>
      <c r="C88">
        <v>235.09</v>
      </c>
      <c r="D88">
        <v>7.35</v>
      </c>
    </row>
    <row r="89" spans="1:4" x14ac:dyDescent="0.3">
      <c r="A89">
        <v>255.93</v>
      </c>
      <c r="B89">
        <v>2.5299999999999998</v>
      </c>
      <c r="C89">
        <v>325.45</v>
      </c>
      <c r="D89">
        <v>8.3699999999999992</v>
      </c>
    </row>
    <row r="90" spans="1:4" x14ac:dyDescent="0.3">
      <c r="A90">
        <v>342.51</v>
      </c>
      <c r="B90">
        <v>2.63</v>
      </c>
      <c r="C90">
        <v>239.22</v>
      </c>
      <c r="D90">
        <v>8.58</v>
      </c>
    </row>
    <row r="91" spans="1:4" x14ac:dyDescent="0.3">
      <c r="A91">
        <v>245.52</v>
      </c>
      <c r="B91">
        <v>2.56</v>
      </c>
      <c r="C91">
        <v>236.76</v>
      </c>
      <c r="D91">
        <v>8.19</v>
      </c>
    </row>
    <row r="92" spans="1:4" x14ac:dyDescent="0.3">
      <c r="A92">
        <v>367.87</v>
      </c>
      <c r="B92">
        <v>2.2799999999999998</v>
      </c>
      <c r="C92">
        <v>249.5</v>
      </c>
      <c r="D92">
        <v>8.7799999999999994</v>
      </c>
    </row>
    <row r="93" spans="1:4" x14ac:dyDescent="0.3">
      <c r="A93">
        <v>220.53</v>
      </c>
      <c r="B93">
        <v>2.61</v>
      </c>
      <c r="C93">
        <v>240.87</v>
      </c>
      <c r="D93">
        <v>9.9</v>
      </c>
    </row>
    <row r="94" spans="1:4" x14ac:dyDescent="0.3">
      <c r="A94">
        <v>345.01</v>
      </c>
      <c r="B94">
        <v>2.76</v>
      </c>
      <c r="C94">
        <v>237.88</v>
      </c>
      <c r="D94">
        <v>7.39</v>
      </c>
    </row>
    <row r="95" spans="1:4" x14ac:dyDescent="0.3">
      <c r="A95">
        <v>249.32</v>
      </c>
      <c r="B95">
        <v>2.72</v>
      </c>
      <c r="C95">
        <v>333.79</v>
      </c>
      <c r="D95">
        <v>7.76</v>
      </c>
    </row>
    <row r="96" spans="1:4" x14ac:dyDescent="0.3">
      <c r="A96">
        <v>275.29000000000002</v>
      </c>
      <c r="B96">
        <v>2.88</v>
      </c>
      <c r="C96">
        <v>212.38</v>
      </c>
      <c r="D96">
        <v>7.85</v>
      </c>
    </row>
    <row r="97" spans="1:4" x14ac:dyDescent="0.3">
      <c r="A97">
        <v>303.76</v>
      </c>
      <c r="B97">
        <v>2.13</v>
      </c>
      <c r="C97">
        <v>311.05</v>
      </c>
      <c r="D97">
        <v>7.52</v>
      </c>
    </row>
    <row r="98" spans="1:4" x14ac:dyDescent="0.3">
      <c r="A98">
        <v>275.94</v>
      </c>
      <c r="B98">
        <v>3.13</v>
      </c>
      <c r="C98">
        <v>222.23</v>
      </c>
      <c r="D98">
        <v>7.44</v>
      </c>
    </row>
    <row r="99" spans="1:4" x14ac:dyDescent="0.3">
      <c r="A99">
        <v>358.82</v>
      </c>
      <c r="B99">
        <v>2.29</v>
      </c>
      <c r="C99">
        <v>226.63</v>
      </c>
      <c r="D99">
        <v>7.75</v>
      </c>
    </row>
    <row r="100" spans="1:4" x14ac:dyDescent="0.3">
      <c r="A100">
        <v>245.4</v>
      </c>
      <c r="B100">
        <v>2.74</v>
      </c>
      <c r="C100">
        <v>333.75</v>
      </c>
      <c r="D100">
        <v>7.11</v>
      </c>
    </row>
    <row r="101" spans="1:4" x14ac:dyDescent="0.3">
      <c r="A101">
        <v>255.51</v>
      </c>
      <c r="B101">
        <v>2.9</v>
      </c>
      <c r="C101">
        <v>244.31</v>
      </c>
      <c r="D101">
        <v>7.49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CC78-CE26-410B-911E-2AD45E9AEE86}">
  <dimension ref="A1:M101"/>
  <sheetViews>
    <sheetView workbookViewId="0">
      <selection activeCell="H14" sqref="H14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1812.79</v>
      </c>
      <c r="B2">
        <v>770.38</v>
      </c>
      <c r="C2">
        <v>2003.1</v>
      </c>
      <c r="D2">
        <v>94.31</v>
      </c>
      <c r="H2" t="s">
        <v>19</v>
      </c>
      <c r="I2" s="4">
        <f>AVERAGE(A$2:A$101)</f>
        <v>500.73650000000009</v>
      </c>
      <c r="J2" s="4">
        <f>AVERAGE(B$2:B$101)</f>
        <v>109.99789999999993</v>
      </c>
      <c r="K2" s="4">
        <f>AVERAGE(C$2:C$101)</f>
        <v>1595.4133000000002</v>
      </c>
      <c r="L2" s="4">
        <f t="shared" ref="L2" si="0">AVERAGE(D$2:D$101)</f>
        <v>99.491100000000017</v>
      </c>
      <c r="M2" s="4"/>
    </row>
    <row r="3" spans="1:13" x14ac:dyDescent="0.3">
      <c r="A3">
        <v>154.94</v>
      </c>
      <c r="B3">
        <v>88.63</v>
      </c>
      <c r="C3">
        <v>1659.4</v>
      </c>
      <c r="D3">
        <v>93.97</v>
      </c>
      <c r="H3" t="s">
        <v>17</v>
      </c>
      <c r="I3" s="4">
        <f>MEDIAN(A$2:A$101)</f>
        <v>166.155</v>
      </c>
      <c r="J3" s="4">
        <f t="shared" ref="J3:L3" si="1">MEDIAN(B$2:B$101)</f>
        <v>87.115000000000009</v>
      </c>
      <c r="K3" s="4">
        <f t="shared" si="1"/>
        <v>474.70000000000005</v>
      </c>
      <c r="L3" s="4">
        <f t="shared" si="1"/>
        <v>92.57</v>
      </c>
      <c r="M3" s="4"/>
    </row>
    <row r="4" spans="1:13" x14ac:dyDescent="0.3">
      <c r="A4">
        <v>163.83000000000001</v>
      </c>
      <c r="B4">
        <v>88.87</v>
      </c>
      <c r="C4">
        <v>207.99</v>
      </c>
      <c r="D4">
        <v>93.12</v>
      </c>
      <c r="H4" t="s">
        <v>18</v>
      </c>
      <c r="I4" s="4">
        <f>_xlfn.STDEV.S(A$2:A$101)</f>
        <v>657.2124490825172</v>
      </c>
      <c r="J4" s="4">
        <f t="shared" ref="J4:L4" si="2">_xlfn.STDEV.S(B$2:B$101)</f>
        <v>114.61872732289967</v>
      </c>
      <c r="K4" s="4">
        <f t="shared" si="2"/>
        <v>3365.5997069632658</v>
      </c>
      <c r="L4" s="4">
        <f t="shared" si="2"/>
        <v>46.032569078311113</v>
      </c>
      <c r="M4" s="4"/>
    </row>
    <row r="5" spans="1:13" x14ac:dyDescent="0.3">
      <c r="A5">
        <v>154.32</v>
      </c>
      <c r="B5">
        <v>88.75</v>
      </c>
      <c r="C5">
        <v>210.93</v>
      </c>
      <c r="D5">
        <v>92.91</v>
      </c>
    </row>
    <row r="6" spans="1:13" x14ac:dyDescent="0.3">
      <c r="A6">
        <v>152.16999999999999</v>
      </c>
      <c r="B6">
        <v>88.81</v>
      </c>
      <c r="C6">
        <v>299.70999999999998</v>
      </c>
      <c r="D6">
        <v>92.74</v>
      </c>
    </row>
    <row r="7" spans="1:13" x14ac:dyDescent="0.3">
      <c r="A7">
        <v>1689.58</v>
      </c>
      <c r="B7">
        <v>84.12</v>
      </c>
      <c r="C7">
        <v>1858.9</v>
      </c>
      <c r="D7">
        <v>89.67</v>
      </c>
    </row>
    <row r="8" spans="1:13" x14ac:dyDescent="0.3">
      <c r="A8">
        <v>965.1</v>
      </c>
      <c r="B8">
        <v>84.18</v>
      </c>
      <c r="C8">
        <v>1778.9</v>
      </c>
      <c r="D8">
        <v>93.39</v>
      </c>
    </row>
    <row r="9" spans="1:13" x14ac:dyDescent="0.3">
      <c r="A9">
        <v>161.68</v>
      </c>
      <c r="B9">
        <v>84.5</v>
      </c>
      <c r="C9">
        <v>652.29999999999995</v>
      </c>
      <c r="D9">
        <v>89.14</v>
      </c>
    </row>
    <row r="10" spans="1:13" x14ac:dyDescent="0.3">
      <c r="A10">
        <v>156.65</v>
      </c>
      <c r="B10">
        <v>84.94</v>
      </c>
      <c r="C10">
        <v>204.41</v>
      </c>
      <c r="D10">
        <v>88.41</v>
      </c>
    </row>
    <row r="11" spans="1:13" x14ac:dyDescent="0.3">
      <c r="A11">
        <v>151.88999999999999</v>
      </c>
      <c r="B11">
        <v>84.45</v>
      </c>
      <c r="C11">
        <v>202.67</v>
      </c>
      <c r="D11">
        <v>89.75</v>
      </c>
    </row>
    <row r="12" spans="1:13" x14ac:dyDescent="0.3">
      <c r="A12">
        <v>3624.52</v>
      </c>
      <c r="B12">
        <v>158.38999999999999</v>
      </c>
      <c r="C12">
        <v>16818.03</v>
      </c>
      <c r="D12">
        <v>157.69999999999999</v>
      </c>
    </row>
    <row r="13" spans="1:13" x14ac:dyDescent="0.3">
      <c r="A13">
        <v>234.15</v>
      </c>
      <c r="B13">
        <v>152.07</v>
      </c>
      <c r="C13">
        <v>15705.34</v>
      </c>
      <c r="D13">
        <v>535.11</v>
      </c>
    </row>
    <row r="14" spans="1:13" x14ac:dyDescent="0.3">
      <c r="A14">
        <v>227.54</v>
      </c>
      <c r="B14">
        <v>151.07</v>
      </c>
      <c r="C14">
        <v>15465.94</v>
      </c>
      <c r="D14">
        <v>158.66999999999999</v>
      </c>
    </row>
    <row r="15" spans="1:13" x14ac:dyDescent="0.3">
      <c r="A15">
        <v>232.11</v>
      </c>
      <c r="B15">
        <v>152.22</v>
      </c>
      <c r="C15">
        <v>16128.31</v>
      </c>
      <c r="D15">
        <v>156.91</v>
      </c>
    </row>
    <row r="16" spans="1:13" x14ac:dyDescent="0.3">
      <c r="A16">
        <v>237</v>
      </c>
      <c r="B16">
        <v>153.58000000000001</v>
      </c>
      <c r="C16">
        <v>15415.74</v>
      </c>
      <c r="D16">
        <v>157.77000000000001</v>
      </c>
    </row>
    <row r="17" spans="1:4" x14ac:dyDescent="0.3">
      <c r="A17">
        <v>1840.27</v>
      </c>
      <c r="B17">
        <v>93.65</v>
      </c>
      <c r="C17">
        <v>909.78</v>
      </c>
      <c r="D17">
        <v>91.68</v>
      </c>
    </row>
    <row r="18" spans="1:4" x14ac:dyDescent="0.3">
      <c r="A18">
        <v>896.21</v>
      </c>
      <c r="B18">
        <v>86.67</v>
      </c>
      <c r="C18">
        <v>915.98</v>
      </c>
      <c r="D18">
        <v>93.74</v>
      </c>
    </row>
    <row r="19" spans="1:4" x14ac:dyDescent="0.3">
      <c r="A19">
        <v>166.19</v>
      </c>
      <c r="B19">
        <v>86.84</v>
      </c>
      <c r="C19">
        <v>282.85000000000002</v>
      </c>
      <c r="D19">
        <v>90.79</v>
      </c>
    </row>
    <row r="20" spans="1:4" x14ac:dyDescent="0.3">
      <c r="A20">
        <v>179.27</v>
      </c>
      <c r="B20">
        <v>86.52</v>
      </c>
      <c r="C20">
        <v>200.91</v>
      </c>
      <c r="D20">
        <v>91.47</v>
      </c>
    </row>
    <row r="21" spans="1:4" x14ac:dyDescent="0.3">
      <c r="A21">
        <v>171.35</v>
      </c>
      <c r="B21">
        <v>86.71</v>
      </c>
      <c r="C21">
        <v>283.27</v>
      </c>
      <c r="D21">
        <v>90.93</v>
      </c>
    </row>
    <row r="22" spans="1:4" x14ac:dyDescent="0.3">
      <c r="A22">
        <v>1976.01</v>
      </c>
      <c r="B22">
        <v>84.22</v>
      </c>
      <c r="C22">
        <v>1920.1</v>
      </c>
      <c r="D22">
        <v>89.4</v>
      </c>
    </row>
    <row r="23" spans="1:4" x14ac:dyDescent="0.3">
      <c r="A23">
        <v>147.49</v>
      </c>
      <c r="B23">
        <v>754.05</v>
      </c>
      <c r="C23">
        <v>1005.49</v>
      </c>
      <c r="D23">
        <v>91.4</v>
      </c>
    </row>
    <row r="24" spans="1:4" x14ac:dyDescent="0.3">
      <c r="A24">
        <v>157.82</v>
      </c>
      <c r="B24">
        <v>84.74</v>
      </c>
      <c r="C24">
        <v>1018.33</v>
      </c>
      <c r="D24">
        <v>89.78</v>
      </c>
    </row>
    <row r="25" spans="1:4" x14ac:dyDescent="0.3">
      <c r="A25">
        <v>151.83000000000001</v>
      </c>
      <c r="B25">
        <v>84.71</v>
      </c>
      <c r="C25">
        <v>201.94</v>
      </c>
      <c r="D25">
        <v>89.29</v>
      </c>
    </row>
    <row r="26" spans="1:4" x14ac:dyDescent="0.3">
      <c r="A26">
        <v>152.19</v>
      </c>
      <c r="B26">
        <v>84.72</v>
      </c>
      <c r="C26">
        <v>203.22</v>
      </c>
      <c r="D26">
        <v>89.33</v>
      </c>
    </row>
    <row r="27" spans="1:4" x14ac:dyDescent="0.3">
      <c r="A27">
        <v>1628.44</v>
      </c>
      <c r="B27">
        <v>89.5</v>
      </c>
      <c r="C27">
        <v>1910.66</v>
      </c>
      <c r="D27">
        <v>97.59</v>
      </c>
    </row>
    <row r="28" spans="1:4" x14ac:dyDescent="0.3">
      <c r="A28">
        <v>162.30000000000001</v>
      </c>
      <c r="B28">
        <v>89.94</v>
      </c>
      <c r="C28">
        <v>1649.77</v>
      </c>
      <c r="D28">
        <v>96.32</v>
      </c>
    </row>
    <row r="29" spans="1:4" x14ac:dyDescent="0.3">
      <c r="A29">
        <v>895.27</v>
      </c>
      <c r="B29">
        <v>90.02</v>
      </c>
      <c r="C29">
        <v>466.84</v>
      </c>
      <c r="D29">
        <v>96.26</v>
      </c>
    </row>
    <row r="30" spans="1:4" x14ac:dyDescent="0.3">
      <c r="A30">
        <v>174.02</v>
      </c>
      <c r="B30">
        <v>89.88</v>
      </c>
      <c r="C30">
        <v>207.66</v>
      </c>
      <c r="D30">
        <v>93.86</v>
      </c>
    </row>
    <row r="31" spans="1:4" x14ac:dyDescent="0.3">
      <c r="A31">
        <v>168.36</v>
      </c>
      <c r="B31">
        <v>89.99</v>
      </c>
      <c r="C31">
        <v>302.14</v>
      </c>
      <c r="D31">
        <v>94.38</v>
      </c>
    </row>
    <row r="32" spans="1:4" x14ac:dyDescent="0.3">
      <c r="A32">
        <v>1144.81</v>
      </c>
      <c r="B32">
        <v>86.36</v>
      </c>
      <c r="C32">
        <v>1508.75</v>
      </c>
      <c r="D32">
        <v>92.98</v>
      </c>
    </row>
    <row r="33" spans="1:4" x14ac:dyDescent="0.3">
      <c r="A33">
        <v>161.87</v>
      </c>
      <c r="B33">
        <v>733.41</v>
      </c>
      <c r="C33">
        <v>1003.9</v>
      </c>
      <c r="D33">
        <v>93.96</v>
      </c>
    </row>
    <row r="34" spans="1:4" x14ac:dyDescent="0.3">
      <c r="A34">
        <v>162.24</v>
      </c>
      <c r="B34">
        <v>86.74</v>
      </c>
      <c r="C34">
        <v>1651.68</v>
      </c>
      <c r="D34">
        <v>94.06</v>
      </c>
    </row>
    <row r="35" spans="1:4" x14ac:dyDescent="0.3">
      <c r="A35">
        <v>154.03</v>
      </c>
      <c r="B35">
        <v>86.55</v>
      </c>
      <c r="C35">
        <v>285.70999999999998</v>
      </c>
      <c r="D35">
        <v>90.99</v>
      </c>
    </row>
    <row r="36" spans="1:4" x14ac:dyDescent="0.3">
      <c r="A36">
        <v>152.59</v>
      </c>
      <c r="B36">
        <v>86.56</v>
      </c>
      <c r="C36">
        <v>213.33</v>
      </c>
      <c r="D36">
        <v>91.34</v>
      </c>
    </row>
    <row r="37" spans="1:4" x14ac:dyDescent="0.3">
      <c r="A37">
        <v>1343.63</v>
      </c>
      <c r="B37">
        <v>87.53</v>
      </c>
      <c r="C37">
        <v>1407.11</v>
      </c>
      <c r="D37">
        <v>92.48</v>
      </c>
    </row>
    <row r="38" spans="1:4" x14ac:dyDescent="0.3">
      <c r="A38">
        <v>161.05000000000001</v>
      </c>
      <c r="B38">
        <v>87.61</v>
      </c>
      <c r="C38">
        <v>1650.01</v>
      </c>
      <c r="D38">
        <v>94.71</v>
      </c>
    </row>
    <row r="39" spans="1:4" x14ac:dyDescent="0.3">
      <c r="A39">
        <v>159.58000000000001</v>
      </c>
      <c r="B39">
        <v>87.63</v>
      </c>
      <c r="C39">
        <v>1653.56</v>
      </c>
      <c r="D39">
        <v>94.73</v>
      </c>
    </row>
    <row r="40" spans="1:4" x14ac:dyDescent="0.3">
      <c r="A40">
        <v>159.84</v>
      </c>
      <c r="B40">
        <v>87.91</v>
      </c>
      <c r="C40">
        <v>287.39</v>
      </c>
      <c r="D40">
        <v>92.55</v>
      </c>
    </row>
    <row r="41" spans="1:4" x14ac:dyDescent="0.3">
      <c r="A41">
        <v>166.12</v>
      </c>
      <c r="B41">
        <v>88.03</v>
      </c>
      <c r="C41">
        <v>214.96</v>
      </c>
      <c r="D41">
        <v>92.32</v>
      </c>
    </row>
    <row r="42" spans="1:4" x14ac:dyDescent="0.3">
      <c r="A42">
        <v>1824.49</v>
      </c>
      <c r="B42">
        <v>82.72</v>
      </c>
      <c r="C42">
        <v>1515.92</v>
      </c>
      <c r="D42">
        <v>88.63</v>
      </c>
    </row>
    <row r="43" spans="1:4" x14ac:dyDescent="0.3">
      <c r="A43">
        <v>160.72999999999999</v>
      </c>
      <c r="B43">
        <v>83.26</v>
      </c>
      <c r="C43">
        <v>1658.13</v>
      </c>
      <c r="D43">
        <v>88.93</v>
      </c>
    </row>
    <row r="44" spans="1:4" x14ac:dyDescent="0.3">
      <c r="A44">
        <v>886.6</v>
      </c>
      <c r="B44">
        <v>83.24</v>
      </c>
      <c r="C44">
        <v>931.99</v>
      </c>
      <c r="D44">
        <v>88.45</v>
      </c>
    </row>
    <row r="45" spans="1:4" x14ac:dyDescent="0.3">
      <c r="A45">
        <v>168.52</v>
      </c>
      <c r="B45">
        <v>83.14</v>
      </c>
      <c r="C45">
        <v>632.88</v>
      </c>
      <c r="D45">
        <v>87.81</v>
      </c>
    </row>
    <row r="46" spans="1:4" x14ac:dyDescent="0.3">
      <c r="A46">
        <v>157.6</v>
      </c>
      <c r="B46">
        <v>84.04</v>
      </c>
      <c r="C46">
        <v>207.43</v>
      </c>
      <c r="D46">
        <v>87.94</v>
      </c>
    </row>
    <row r="47" spans="1:4" x14ac:dyDescent="0.3">
      <c r="A47">
        <v>1664.29</v>
      </c>
      <c r="B47">
        <v>85.77</v>
      </c>
      <c r="C47">
        <v>1417.19</v>
      </c>
      <c r="D47">
        <v>91.06</v>
      </c>
    </row>
    <row r="48" spans="1:4" x14ac:dyDescent="0.3">
      <c r="A48">
        <v>158.88</v>
      </c>
      <c r="B48">
        <v>86.24</v>
      </c>
      <c r="C48">
        <v>1657.68</v>
      </c>
      <c r="D48">
        <v>90.89</v>
      </c>
    </row>
    <row r="49" spans="1:4" x14ac:dyDescent="0.3">
      <c r="A49">
        <v>151.80000000000001</v>
      </c>
      <c r="B49">
        <v>85.88</v>
      </c>
      <c r="C49">
        <v>1666.79</v>
      </c>
      <c r="D49">
        <v>91.3</v>
      </c>
    </row>
    <row r="50" spans="1:4" x14ac:dyDescent="0.3">
      <c r="A50">
        <v>150.65</v>
      </c>
      <c r="B50">
        <v>86.24</v>
      </c>
      <c r="C50">
        <v>283.64</v>
      </c>
      <c r="D50">
        <v>90.25</v>
      </c>
    </row>
    <row r="51" spans="1:4" x14ac:dyDescent="0.3">
      <c r="A51">
        <v>158</v>
      </c>
      <c r="B51">
        <v>86.14</v>
      </c>
      <c r="C51">
        <v>205.44</v>
      </c>
      <c r="D51">
        <v>91.03</v>
      </c>
    </row>
    <row r="52" spans="1:4" x14ac:dyDescent="0.3">
      <c r="A52">
        <v>1572.07</v>
      </c>
      <c r="B52">
        <v>82.09</v>
      </c>
      <c r="C52">
        <v>1435.81</v>
      </c>
      <c r="D52">
        <v>87.83</v>
      </c>
    </row>
    <row r="53" spans="1:4" x14ac:dyDescent="0.3">
      <c r="A53">
        <v>161.94999999999999</v>
      </c>
      <c r="B53">
        <v>81.62</v>
      </c>
      <c r="C53">
        <v>1657.6</v>
      </c>
      <c r="D53">
        <v>90.02</v>
      </c>
    </row>
    <row r="54" spans="1:4" x14ac:dyDescent="0.3">
      <c r="A54">
        <v>150.66999999999999</v>
      </c>
      <c r="B54">
        <v>81.680000000000007</v>
      </c>
      <c r="C54">
        <v>1671.7</v>
      </c>
      <c r="D54">
        <v>88.89</v>
      </c>
    </row>
    <row r="55" spans="1:4" x14ac:dyDescent="0.3">
      <c r="A55">
        <v>152.9</v>
      </c>
      <c r="B55">
        <v>81.8</v>
      </c>
      <c r="C55">
        <v>270.05</v>
      </c>
      <c r="D55">
        <v>87.21</v>
      </c>
    </row>
    <row r="56" spans="1:4" x14ac:dyDescent="0.3">
      <c r="A56">
        <v>164.5</v>
      </c>
      <c r="B56">
        <v>82.17</v>
      </c>
      <c r="C56">
        <v>193.12</v>
      </c>
      <c r="D56">
        <v>88.89</v>
      </c>
    </row>
    <row r="57" spans="1:4" x14ac:dyDescent="0.3">
      <c r="A57">
        <v>1609.42</v>
      </c>
      <c r="B57">
        <v>82.06</v>
      </c>
      <c r="C57">
        <v>1533.88</v>
      </c>
      <c r="D57">
        <v>89.12</v>
      </c>
    </row>
    <row r="58" spans="1:4" x14ac:dyDescent="0.3">
      <c r="A58">
        <v>159.33000000000001</v>
      </c>
      <c r="B58">
        <v>82.19</v>
      </c>
      <c r="C58">
        <v>1662.91</v>
      </c>
      <c r="D58">
        <v>89.89</v>
      </c>
    </row>
    <row r="59" spans="1:4" x14ac:dyDescent="0.3">
      <c r="A59">
        <v>153.18</v>
      </c>
      <c r="B59">
        <v>82.58</v>
      </c>
      <c r="C59">
        <v>1667.31</v>
      </c>
      <c r="D59">
        <v>90.12</v>
      </c>
    </row>
    <row r="60" spans="1:4" x14ac:dyDescent="0.3">
      <c r="A60">
        <v>151.58000000000001</v>
      </c>
      <c r="B60">
        <v>82.37</v>
      </c>
      <c r="C60">
        <v>274.14999999999998</v>
      </c>
      <c r="D60">
        <v>87.58</v>
      </c>
    </row>
    <row r="61" spans="1:4" x14ac:dyDescent="0.3">
      <c r="A61">
        <v>153.79</v>
      </c>
      <c r="B61">
        <v>82.46</v>
      </c>
      <c r="C61">
        <v>200.5</v>
      </c>
      <c r="D61">
        <v>87.97</v>
      </c>
    </row>
    <row r="62" spans="1:4" x14ac:dyDescent="0.3">
      <c r="A62">
        <v>1808.57</v>
      </c>
      <c r="B62">
        <v>81.75</v>
      </c>
      <c r="C62">
        <v>1521.9</v>
      </c>
      <c r="D62">
        <v>88.11</v>
      </c>
    </row>
    <row r="63" spans="1:4" x14ac:dyDescent="0.3">
      <c r="A63">
        <v>156.77000000000001</v>
      </c>
      <c r="B63">
        <v>82.44</v>
      </c>
      <c r="C63">
        <v>1665.58</v>
      </c>
      <c r="D63">
        <v>89.91</v>
      </c>
    </row>
    <row r="64" spans="1:4" x14ac:dyDescent="0.3">
      <c r="A64">
        <v>160.16999999999999</v>
      </c>
      <c r="B64">
        <v>82.13</v>
      </c>
      <c r="C64">
        <v>1659.75</v>
      </c>
      <c r="D64">
        <v>96.95</v>
      </c>
    </row>
    <row r="65" spans="1:4" x14ac:dyDescent="0.3">
      <c r="A65">
        <v>164.18</v>
      </c>
      <c r="B65">
        <v>84.5</v>
      </c>
      <c r="C65">
        <v>273.83999999999997</v>
      </c>
      <c r="D65">
        <v>87.1</v>
      </c>
    </row>
    <row r="66" spans="1:4" x14ac:dyDescent="0.3">
      <c r="A66">
        <v>151.13</v>
      </c>
      <c r="B66">
        <v>82.35</v>
      </c>
      <c r="C66">
        <v>198.78</v>
      </c>
      <c r="D66">
        <v>87.5</v>
      </c>
    </row>
    <row r="67" spans="1:4" x14ac:dyDescent="0.3">
      <c r="A67">
        <v>1996.63</v>
      </c>
      <c r="B67">
        <v>93.54</v>
      </c>
      <c r="C67">
        <v>1993.05</v>
      </c>
      <c r="D67">
        <v>93.61</v>
      </c>
    </row>
    <row r="68" spans="1:4" x14ac:dyDescent="0.3">
      <c r="A68">
        <v>182.12</v>
      </c>
      <c r="B68">
        <v>87.95</v>
      </c>
      <c r="C68">
        <v>723.03</v>
      </c>
      <c r="D68">
        <v>92.45</v>
      </c>
    </row>
    <row r="69" spans="1:4" x14ac:dyDescent="0.3">
      <c r="A69">
        <v>160.05000000000001</v>
      </c>
      <c r="B69">
        <v>103.4</v>
      </c>
      <c r="C69">
        <v>225.4</v>
      </c>
      <c r="D69">
        <v>105.95</v>
      </c>
    </row>
    <row r="70" spans="1:4" x14ac:dyDescent="0.3">
      <c r="A70">
        <v>195.69</v>
      </c>
      <c r="B70">
        <v>88.58</v>
      </c>
      <c r="C70">
        <v>206.63</v>
      </c>
      <c r="D70">
        <v>92.78</v>
      </c>
    </row>
    <row r="71" spans="1:4" x14ac:dyDescent="0.3">
      <c r="A71">
        <v>163.68</v>
      </c>
      <c r="B71">
        <v>88.05</v>
      </c>
      <c r="C71">
        <v>293.98</v>
      </c>
      <c r="D71">
        <v>92.59</v>
      </c>
    </row>
    <row r="72" spans="1:4" x14ac:dyDescent="0.3">
      <c r="A72">
        <v>1285.01</v>
      </c>
      <c r="B72">
        <v>80.239999999999995</v>
      </c>
      <c r="C72">
        <v>1460.06</v>
      </c>
      <c r="D72">
        <v>86.71</v>
      </c>
    </row>
    <row r="73" spans="1:4" x14ac:dyDescent="0.3">
      <c r="A73">
        <v>144.81</v>
      </c>
      <c r="B73">
        <v>80.13</v>
      </c>
      <c r="C73">
        <v>1683.78</v>
      </c>
      <c r="D73">
        <v>87.45</v>
      </c>
    </row>
    <row r="74" spans="1:4" x14ac:dyDescent="0.3">
      <c r="A74">
        <v>147.61000000000001</v>
      </c>
      <c r="B74">
        <v>80.39</v>
      </c>
      <c r="C74">
        <v>1676.73</v>
      </c>
      <c r="D74">
        <v>86.27</v>
      </c>
    </row>
    <row r="75" spans="1:4" x14ac:dyDescent="0.3">
      <c r="A75">
        <v>150.82</v>
      </c>
      <c r="B75">
        <v>80.709999999999994</v>
      </c>
      <c r="C75">
        <v>272.07</v>
      </c>
      <c r="D75">
        <v>85.37</v>
      </c>
    </row>
    <row r="76" spans="1:4" x14ac:dyDescent="0.3">
      <c r="A76">
        <v>158.9</v>
      </c>
      <c r="B76">
        <v>80.739999999999995</v>
      </c>
      <c r="C76">
        <v>196.2</v>
      </c>
      <c r="D76">
        <v>84.97</v>
      </c>
    </row>
    <row r="77" spans="1:4" x14ac:dyDescent="0.3">
      <c r="A77">
        <v>1604.64</v>
      </c>
      <c r="B77">
        <v>88.76</v>
      </c>
      <c r="C77">
        <v>1911.37</v>
      </c>
      <c r="D77">
        <v>94.89</v>
      </c>
    </row>
    <row r="78" spans="1:4" x14ac:dyDescent="0.3">
      <c r="A78">
        <v>153.04</v>
      </c>
      <c r="B78">
        <v>88.55</v>
      </c>
      <c r="C78">
        <v>1661.9</v>
      </c>
      <c r="D78">
        <v>93.71</v>
      </c>
    </row>
    <row r="79" spans="1:4" x14ac:dyDescent="0.3">
      <c r="A79">
        <v>167.28</v>
      </c>
      <c r="B79">
        <v>88.38</v>
      </c>
      <c r="C79">
        <v>1644.63</v>
      </c>
      <c r="D79">
        <v>95.09</v>
      </c>
    </row>
    <row r="80" spans="1:4" x14ac:dyDescent="0.3">
      <c r="A80">
        <v>159.56</v>
      </c>
      <c r="B80">
        <v>88.59</v>
      </c>
      <c r="C80">
        <v>299.10000000000002</v>
      </c>
      <c r="D80">
        <v>93.44</v>
      </c>
    </row>
    <row r="81" spans="1:4" x14ac:dyDescent="0.3">
      <c r="A81">
        <v>160</v>
      </c>
      <c r="B81">
        <v>88.59</v>
      </c>
      <c r="C81">
        <v>204.56</v>
      </c>
      <c r="D81">
        <v>92.93</v>
      </c>
    </row>
    <row r="82" spans="1:4" x14ac:dyDescent="0.3">
      <c r="A82">
        <v>2018.47</v>
      </c>
      <c r="B82">
        <v>104.47</v>
      </c>
      <c r="C82">
        <v>1758.19</v>
      </c>
      <c r="D82">
        <v>101.75</v>
      </c>
    </row>
    <row r="83" spans="1:4" x14ac:dyDescent="0.3">
      <c r="A83">
        <v>159.36000000000001</v>
      </c>
      <c r="B83">
        <v>86.72</v>
      </c>
      <c r="C83">
        <v>1646.11</v>
      </c>
      <c r="D83">
        <v>93.77</v>
      </c>
    </row>
    <row r="84" spans="1:4" x14ac:dyDescent="0.3">
      <c r="A84">
        <v>166.03</v>
      </c>
      <c r="B84">
        <v>86.81</v>
      </c>
      <c r="C84">
        <v>297.75</v>
      </c>
      <c r="D84">
        <v>96.76</v>
      </c>
    </row>
    <row r="85" spans="1:4" x14ac:dyDescent="0.3">
      <c r="A85">
        <v>379.59</v>
      </c>
      <c r="B85">
        <v>87.3</v>
      </c>
      <c r="C85">
        <v>323.39</v>
      </c>
      <c r="D85">
        <v>92.19</v>
      </c>
    </row>
    <row r="86" spans="1:4" x14ac:dyDescent="0.3">
      <c r="A86">
        <v>159.5</v>
      </c>
      <c r="B86">
        <v>86.93</v>
      </c>
      <c r="C86">
        <v>210.3</v>
      </c>
      <c r="D86">
        <v>91.65</v>
      </c>
    </row>
    <row r="87" spans="1:4" x14ac:dyDescent="0.3">
      <c r="A87">
        <v>1066.52</v>
      </c>
      <c r="B87">
        <v>89.56</v>
      </c>
      <c r="C87">
        <v>474.17</v>
      </c>
      <c r="D87">
        <v>94.24</v>
      </c>
    </row>
    <row r="88" spans="1:4" x14ac:dyDescent="0.3">
      <c r="A88">
        <v>171.22</v>
      </c>
      <c r="B88">
        <v>89.93</v>
      </c>
      <c r="C88">
        <v>214.24</v>
      </c>
      <c r="D88">
        <v>97.75</v>
      </c>
    </row>
    <row r="89" spans="1:4" x14ac:dyDescent="0.3">
      <c r="A89">
        <v>182.63</v>
      </c>
      <c r="B89">
        <v>89.78</v>
      </c>
      <c r="C89">
        <v>207.96</v>
      </c>
      <c r="D89">
        <v>94.51</v>
      </c>
    </row>
    <row r="90" spans="1:4" x14ac:dyDescent="0.3">
      <c r="A90">
        <v>187.65</v>
      </c>
      <c r="B90">
        <v>89.64</v>
      </c>
      <c r="C90">
        <v>308.52999999999997</v>
      </c>
      <c r="D90">
        <v>105.32</v>
      </c>
    </row>
    <row r="91" spans="1:4" x14ac:dyDescent="0.3">
      <c r="A91">
        <v>182.89</v>
      </c>
      <c r="B91">
        <v>95.09</v>
      </c>
      <c r="C91">
        <v>422.19</v>
      </c>
      <c r="D91">
        <v>98.21</v>
      </c>
    </row>
    <row r="92" spans="1:4" x14ac:dyDescent="0.3">
      <c r="A92">
        <v>964.08</v>
      </c>
      <c r="B92">
        <v>88.11</v>
      </c>
      <c r="C92">
        <v>474.08</v>
      </c>
      <c r="D92">
        <v>93.83</v>
      </c>
    </row>
    <row r="93" spans="1:4" x14ac:dyDescent="0.3">
      <c r="A93">
        <v>203.66</v>
      </c>
      <c r="B93">
        <v>88.24</v>
      </c>
      <c r="C93">
        <v>203.93</v>
      </c>
      <c r="D93">
        <v>94.26</v>
      </c>
    </row>
    <row r="94" spans="1:4" x14ac:dyDescent="0.3">
      <c r="A94">
        <v>178.17</v>
      </c>
      <c r="B94">
        <v>88.57</v>
      </c>
      <c r="C94">
        <v>210.13</v>
      </c>
      <c r="D94">
        <v>96.89</v>
      </c>
    </row>
    <row r="95" spans="1:4" x14ac:dyDescent="0.3">
      <c r="A95">
        <v>177.51</v>
      </c>
      <c r="B95">
        <v>88.74</v>
      </c>
      <c r="C95">
        <v>293.88</v>
      </c>
      <c r="D95">
        <v>93.43</v>
      </c>
    </row>
    <row r="96" spans="1:4" x14ac:dyDescent="0.3">
      <c r="A96">
        <v>183.4</v>
      </c>
      <c r="B96">
        <v>88.6</v>
      </c>
      <c r="C96">
        <v>403.79</v>
      </c>
      <c r="D96">
        <v>94.68</v>
      </c>
    </row>
    <row r="97" spans="1:4" x14ac:dyDescent="0.3">
      <c r="A97">
        <v>1063.27</v>
      </c>
      <c r="B97">
        <v>89.22</v>
      </c>
      <c r="C97">
        <v>475.23</v>
      </c>
      <c r="D97">
        <v>94.6</v>
      </c>
    </row>
    <row r="98" spans="1:4" x14ac:dyDescent="0.3">
      <c r="A98">
        <v>175.18</v>
      </c>
      <c r="B98">
        <v>89.75</v>
      </c>
      <c r="C98">
        <v>215.4</v>
      </c>
      <c r="D98">
        <v>110.68</v>
      </c>
    </row>
    <row r="99" spans="1:4" x14ac:dyDescent="0.3">
      <c r="A99">
        <v>171.75</v>
      </c>
      <c r="B99">
        <v>89.54</v>
      </c>
      <c r="C99">
        <v>210.28</v>
      </c>
      <c r="D99">
        <v>100.17</v>
      </c>
    </row>
    <row r="100" spans="1:4" x14ac:dyDescent="0.3">
      <c r="A100">
        <v>177.83</v>
      </c>
      <c r="B100">
        <v>89.71</v>
      </c>
      <c r="C100">
        <v>294.56</v>
      </c>
      <c r="D100">
        <v>97.94</v>
      </c>
    </row>
    <row r="101" spans="1:4" x14ac:dyDescent="0.3">
      <c r="A101">
        <v>172.28</v>
      </c>
      <c r="B101">
        <v>90.17</v>
      </c>
      <c r="C101">
        <v>413.75</v>
      </c>
      <c r="D101">
        <v>94.98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ECF5-BA03-4AAF-B3CD-14AD8AA418D5}">
  <dimension ref="A1:M101"/>
  <sheetViews>
    <sheetView workbookViewId="0">
      <selection activeCell="H19" sqref="H19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I1" t="s">
        <v>26</v>
      </c>
      <c r="J1" t="s">
        <v>27</v>
      </c>
      <c r="K1" t="s">
        <v>28</v>
      </c>
      <c r="L1" t="s">
        <v>29</v>
      </c>
    </row>
    <row r="2" spans="1:13" x14ac:dyDescent="0.3">
      <c r="A2">
        <v>91.4</v>
      </c>
      <c r="B2">
        <v>3</v>
      </c>
      <c r="C2">
        <v>152.1</v>
      </c>
      <c r="D2">
        <v>7.9</v>
      </c>
      <c r="H2" t="s">
        <v>19</v>
      </c>
      <c r="I2" s="4">
        <f>AVERAGE(A$2:A$101)</f>
        <v>76.224599999999995</v>
      </c>
      <c r="J2" s="4">
        <f>AVERAGE(B$2:B$101)</f>
        <v>3.2317000000000013</v>
      </c>
      <c r="K2" s="4">
        <f>AVERAGE(C$2:C$101)</f>
        <v>119.94240000000002</v>
      </c>
      <c r="L2" s="4">
        <f t="shared" ref="L2" si="0">AVERAGE(D$2:D$101)</f>
        <v>8.4131</v>
      </c>
      <c r="M2" s="4"/>
    </row>
    <row r="3" spans="1:13" x14ac:dyDescent="0.3">
      <c r="A3">
        <v>58.34</v>
      </c>
      <c r="B3">
        <v>3.66</v>
      </c>
      <c r="C3">
        <v>114.49</v>
      </c>
      <c r="D3">
        <v>7.54</v>
      </c>
      <c r="H3" t="s">
        <v>17</v>
      </c>
      <c r="I3" s="4">
        <f>MEDIAN(A$2:A$101)</f>
        <v>70.28</v>
      </c>
      <c r="J3" s="4">
        <f t="shared" ref="J3:L3" si="1">MEDIAN(B$2:B$101)</f>
        <v>3.1100000000000003</v>
      </c>
      <c r="K3" s="4">
        <f t="shared" si="1"/>
        <v>114.36499999999999</v>
      </c>
      <c r="L3" s="4">
        <f t="shared" si="1"/>
        <v>8.0150000000000006</v>
      </c>
      <c r="M3" s="4"/>
    </row>
    <row r="4" spans="1:13" x14ac:dyDescent="0.3">
      <c r="A4">
        <v>65.17</v>
      </c>
      <c r="B4">
        <v>3.26</v>
      </c>
      <c r="C4">
        <v>105.76</v>
      </c>
      <c r="D4">
        <v>11.19</v>
      </c>
      <c r="H4" t="s">
        <v>18</v>
      </c>
      <c r="I4" s="4">
        <f>_xlfn.STDEV.S(A$2:A$101)</f>
        <v>18.962925679953344</v>
      </c>
      <c r="J4" s="4">
        <f t="shared" ref="J4:L4" si="2">_xlfn.STDEV.S(B$2:B$101)</f>
        <v>1.2312086982253871</v>
      </c>
      <c r="K4" s="4">
        <f t="shared" si="2"/>
        <v>21.170620347523595</v>
      </c>
      <c r="L4" s="4">
        <f t="shared" si="2"/>
        <v>1.8785760215351526</v>
      </c>
      <c r="M4" s="4"/>
    </row>
    <row r="5" spans="1:13" x14ac:dyDescent="0.3">
      <c r="A5">
        <v>62.37</v>
      </c>
      <c r="B5">
        <v>3.42</v>
      </c>
      <c r="C5">
        <v>107.2</v>
      </c>
      <c r="D5">
        <v>7.72</v>
      </c>
    </row>
    <row r="6" spans="1:13" x14ac:dyDescent="0.3">
      <c r="A6">
        <v>62.66</v>
      </c>
      <c r="B6">
        <v>3.6</v>
      </c>
      <c r="C6">
        <v>126.86</v>
      </c>
      <c r="D6">
        <v>8.1</v>
      </c>
    </row>
    <row r="7" spans="1:13" x14ac:dyDescent="0.3">
      <c r="A7">
        <v>91.97</v>
      </c>
      <c r="B7">
        <v>3.12</v>
      </c>
      <c r="C7">
        <v>130.02000000000001</v>
      </c>
      <c r="D7">
        <v>8.0500000000000007</v>
      </c>
    </row>
    <row r="8" spans="1:13" x14ac:dyDescent="0.3">
      <c r="A8">
        <v>57.24</v>
      </c>
      <c r="B8">
        <v>3.44</v>
      </c>
      <c r="C8">
        <v>96.74</v>
      </c>
      <c r="D8">
        <v>7.59</v>
      </c>
    </row>
    <row r="9" spans="1:13" x14ac:dyDescent="0.3">
      <c r="A9">
        <v>60.99</v>
      </c>
      <c r="B9">
        <v>3.5</v>
      </c>
      <c r="C9">
        <v>106.47</v>
      </c>
      <c r="D9">
        <v>7.57</v>
      </c>
    </row>
    <row r="10" spans="1:13" x14ac:dyDescent="0.3">
      <c r="A10">
        <v>60.58</v>
      </c>
      <c r="B10">
        <v>3.67</v>
      </c>
      <c r="C10">
        <v>106.06</v>
      </c>
      <c r="D10">
        <v>7.63</v>
      </c>
    </row>
    <row r="11" spans="1:13" x14ac:dyDescent="0.3">
      <c r="A11">
        <v>58.17</v>
      </c>
      <c r="B11">
        <v>3.38</v>
      </c>
      <c r="C11">
        <v>105.6</v>
      </c>
      <c r="D11">
        <v>7.36</v>
      </c>
    </row>
    <row r="12" spans="1:13" x14ac:dyDescent="0.3">
      <c r="A12">
        <v>127.51</v>
      </c>
      <c r="B12">
        <v>2.76</v>
      </c>
      <c r="C12">
        <v>189.27</v>
      </c>
      <c r="D12">
        <v>6.98</v>
      </c>
    </row>
    <row r="13" spans="1:13" x14ac:dyDescent="0.3">
      <c r="A13">
        <v>87.71</v>
      </c>
      <c r="B13">
        <v>3.2</v>
      </c>
      <c r="C13">
        <v>114.5</v>
      </c>
      <c r="D13">
        <v>7.6</v>
      </c>
    </row>
    <row r="14" spans="1:13" x14ac:dyDescent="0.3">
      <c r="A14">
        <v>72.3</v>
      </c>
      <c r="B14">
        <v>3.2</v>
      </c>
      <c r="C14">
        <v>113.65</v>
      </c>
      <c r="D14">
        <v>7.09</v>
      </c>
    </row>
    <row r="15" spans="1:13" x14ac:dyDescent="0.3">
      <c r="A15">
        <v>67.28</v>
      </c>
      <c r="B15">
        <v>3.32</v>
      </c>
      <c r="C15">
        <v>111.67</v>
      </c>
      <c r="D15">
        <v>7.29</v>
      </c>
    </row>
    <row r="16" spans="1:13" x14ac:dyDescent="0.3">
      <c r="A16">
        <v>67.02</v>
      </c>
      <c r="B16">
        <v>3.59</v>
      </c>
      <c r="C16">
        <v>140.72</v>
      </c>
      <c r="D16">
        <v>8.33</v>
      </c>
    </row>
    <row r="17" spans="1:4" x14ac:dyDescent="0.3">
      <c r="A17">
        <v>97.8</v>
      </c>
      <c r="B17">
        <v>3.1</v>
      </c>
      <c r="C17">
        <v>142.04</v>
      </c>
      <c r="D17">
        <v>8.34</v>
      </c>
    </row>
    <row r="18" spans="1:4" x14ac:dyDescent="0.3">
      <c r="A18">
        <v>62.64</v>
      </c>
      <c r="B18">
        <v>3.57</v>
      </c>
      <c r="C18">
        <v>109.54</v>
      </c>
      <c r="D18">
        <v>8.59</v>
      </c>
    </row>
    <row r="19" spans="1:4" x14ac:dyDescent="0.3">
      <c r="A19">
        <v>83.8</v>
      </c>
      <c r="B19">
        <v>3.61</v>
      </c>
      <c r="C19">
        <v>97.73</v>
      </c>
      <c r="D19">
        <v>8.39</v>
      </c>
    </row>
    <row r="20" spans="1:4" x14ac:dyDescent="0.3">
      <c r="A20">
        <v>61.01</v>
      </c>
      <c r="B20">
        <v>3.8</v>
      </c>
      <c r="C20">
        <v>100.85</v>
      </c>
      <c r="D20">
        <v>8.1</v>
      </c>
    </row>
    <row r="21" spans="1:4" x14ac:dyDescent="0.3">
      <c r="A21">
        <v>60.81</v>
      </c>
      <c r="B21">
        <v>4.1399999999999997</v>
      </c>
      <c r="C21">
        <v>100.45</v>
      </c>
      <c r="D21">
        <v>7.62</v>
      </c>
    </row>
    <row r="22" spans="1:4" x14ac:dyDescent="0.3">
      <c r="A22">
        <v>99.34</v>
      </c>
      <c r="B22">
        <v>3.69</v>
      </c>
      <c r="C22">
        <v>128.47999999999999</v>
      </c>
      <c r="D22">
        <v>8.56</v>
      </c>
    </row>
    <row r="23" spans="1:4" x14ac:dyDescent="0.3">
      <c r="A23">
        <v>64.599999999999994</v>
      </c>
      <c r="B23">
        <v>4.29</v>
      </c>
      <c r="C23">
        <v>94.89</v>
      </c>
      <c r="D23">
        <v>8.61</v>
      </c>
    </row>
    <row r="24" spans="1:4" x14ac:dyDescent="0.3">
      <c r="A24">
        <v>60.81</v>
      </c>
      <c r="B24">
        <v>4.22</v>
      </c>
      <c r="C24">
        <v>100.66</v>
      </c>
      <c r="D24">
        <v>8.6</v>
      </c>
    </row>
    <row r="25" spans="1:4" x14ac:dyDescent="0.3">
      <c r="A25">
        <v>61.73</v>
      </c>
      <c r="B25">
        <v>4.2300000000000004</v>
      </c>
      <c r="C25">
        <v>102.63</v>
      </c>
      <c r="D25">
        <v>8.99</v>
      </c>
    </row>
    <row r="26" spans="1:4" x14ac:dyDescent="0.3">
      <c r="A26">
        <v>59.42</v>
      </c>
      <c r="B26">
        <v>4.4800000000000004</v>
      </c>
      <c r="C26">
        <v>108.31</v>
      </c>
      <c r="D26">
        <v>8.6999999999999993</v>
      </c>
    </row>
    <row r="27" spans="1:4" x14ac:dyDescent="0.3">
      <c r="A27">
        <v>106.96</v>
      </c>
      <c r="B27">
        <v>3.79</v>
      </c>
      <c r="C27">
        <v>126.68</v>
      </c>
      <c r="D27">
        <v>10.93</v>
      </c>
    </row>
    <row r="28" spans="1:4" x14ac:dyDescent="0.3">
      <c r="A28">
        <v>70.209999999999994</v>
      </c>
      <c r="B28">
        <v>4.26</v>
      </c>
      <c r="C28">
        <v>107.23</v>
      </c>
      <c r="D28">
        <v>8.4600000000000009</v>
      </c>
    </row>
    <row r="29" spans="1:4" x14ac:dyDescent="0.3">
      <c r="A29">
        <v>65.010000000000005</v>
      </c>
      <c r="B29">
        <v>4.17</v>
      </c>
      <c r="C29">
        <v>93.14</v>
      </c>
      <c r="D29">
        <v>8.94</v>
      </c>
    </row>
    <row r="30" spans="1:4" x14ac:dyDescent="0.3">
      <c r="A30">
        <v>78.41</v>
      </c>
      <c r="B30">
        <v>4.38</v>
      </c>
      <c r="C30">
        <v>148.72999999999999</v>
      </c>
      <c r="D30">
        <v>8.86</v>
      </c>
    </row>
    <row r="31" spans="1:4" x14ac:dyDescent="0.3">
      <c r="A31">
        <v>73.05</v>
      </c>
      <c r="B31">
        <v>4.66</v>
      </c>
      <c r="C31">
        <v>101.75</v>
      </c>
      <c r="D31">
        <v>9.26</v>
      </c>
    </row>
    <row r="32" spans="1:4" x14ac:dyDescent="0.3">
      <c r="A32">
        <v>78.63</v>
      </c>
      <c r="B32">
        <v>2.4900000000000002</v>
      </c>
      <c r="C32">
        <v>139.61000000000001</v>
      </c>
      <c r="D32">
        <v>7.18</v>
      </c>
    </row>
    <row r="33" spans="1:4" x14ac:dyDescent="0.3">
      <c r="A33">
        <v>60.84</v>
      </c>
      <c r="B33">
        <v>2.66</v>
      </c>
      <c r="C33">
        <v>123.18</v>
      </c>
      <c r="D33">
        <v>14.79</v>
      </c>
    </row>
    <row r="34" spans="1:4" x14ac:dyDescent="0.3">
      <c r="A34">
        <v>61.06</v>
      </c>
      <c r="B34">
        <v>2.83</v>
      </c>
      <c r="C34">
        <v>108.23</v>
      </c>
      <c r="D34">
        <v>7.83</v>
      </c>
    </row>
    <row r="35" spans="1:4" x14ac:dyDescent="0.3">
      <c r="A35">
        <v>63.22</v>
      </c>
      <c r="B35">
        <v>3.69</v>
      </c>
      <c r="C35">
        <v>108.27</v>
      </c>
      <c r="D35">
        <v>9.6300000000000008</v>
      </c>
    </row>
    <row r="36" spans="1:4" x14ac:dyDescent="0.3">
      <c r="A36">
        <v>64.75</v>
      </c>
      <c r="B36">
        <v>2.93</v>
      </c>
      <c r="C36">
        <v>101.64</v>
      </c>
      <c r="D36">
        <v>7.86</v>
      </c>
    </row>
    <row r="37" spans="1:4" x14ac:dyDescent="0.3">
      <c r="A37">
        <v>81.33</v>
      </c>
      <c r="B37">
        <v>2.35</v>
      </c>
      <c r="C37">
        <v>136.22</v>
      </c>
      <c r="D37">
        <v>6.8</v>
      </c>
    </row>
    <row r="38" spans="1:4" x14ac:dyDescent="0.3">
      <c r="A38">
        <v>59.2</v>
      </c>
      <c r="B38">
        <v>2.72</v>
      </c>
      <c r="C38">
        <v>103.31</v>
      </c>
      <c r="D38">
        <v>6.93</v>
      </c>
    </row>
    <row r="39" spans="1:4" x14ac:dyDescent="0.3">
      <c r="A39">
        <v>58.87</v>
      </c>
      <c r="B39">
        <v>2.73</v>
      </c>
      <c r="C39">
        <v>103.54</v>
      </c>
      <c r="D39">
        <v>7.33</v>
      </c>
    </row>
    <row r="40" spans="1:4" x14ac:dyDescent="0.3">
      <c r="A40">
        <v>60.24</v>
      </c>
      <c r="B40">
        <v>2.91</v>
      </c>
      <c r="C40">
        <v>110.37</v>
      </c>
      <c r="D40">
        <v>7.43</v>
      </c>
    </row>
    <row r="41" spans="1:4" x14ac:dyDescent="0.3">
      <c r="A41">
        <v>60.09</v>
      </c>
      <c r="B41">
        <v>2.81</v>
      </c>
      <c r="C41">
        <v>99.27</v>
      </c>
      <c r="D41">
        <v>7.75</v>
      </c>
    </row>
    <row r="42" spans="1:4" x14ac:dyDescent="0.3">
      <c r="A42">
        <v>102.47</v>
      </c>
      <c r="B42">
        <v>3.34</v>
      </c>
      <c r="C42">
        <v>153.77000000000001</v>
      </c>
      <c r="D42">
        <v>8.15</v>
      </c>
    </row>
    <row r="43" spans="1:4" x14ac:dyDescent="0.3">
      <c r="A43">
        <v>74.83</v>
      </c>
      <c r="B43">
        <v>3.31</v>
      </c>
      <c r="C43">
        <v>142.55000000000001</v>
      </c>
      <c r="D43">
        <v>8.07</v>
      </c>
    </row>
    <row r="44" spans="1:4" x14ac:dyDescent="0.3">
      <c r="A44">
        <v>68.430000000000007</v>
      </c>
      <c r="B44">
        <v>2.9</v>
      </c>
      <c r="C44">
        <v>115.04</v>
      </c>
      <c r="D44">
        <v>7.63</v>
      </c>
    </row>
    <row r="45" spans="1:4" x14ac:dyDescent="0.3">
      <c r="A45">
        <v>71.31</v>
      </c>
      <c r="B45">
        <v>3.58</v>
      </c>
      <c r="C45">
        <v>104.72</v>
      </c>
      <c r="D45">
        <v>7.65</v>
      </c>
    </row>
    <row r="46" spans="1:4" x14ac:dyDescent="0.3">
      <c r="A46">
        <v>71.7</v>
      </c>
      <c r="B46">
        <v>3.61</v>
      </c>
      <c r="C46">
        <v>113.09</v>
      </c>
      <c r="D46">
        <v>7.93</v>
      </c>
    </row>
    <row r="47" spans="1:4" x14ac:dyDescent="0.3">
      <c r="A47">
        <v>85.23</v>
      </c>
      <c r="B47">
        <v>1.58</v>
      </c>
      <c r="C47">
        <v>139.07</v>
      </c>
      <c r="D47">
        <v>6.54</v>
      </c>
    </row>
    <row r="48" spans="1:4" x14ac:dyDescent="0.3">
      <c r="A48">
        <v>70.45</v>
      </c>
      <c r="B48">
        <v>8.4</v>
      </c>
      <c r="C48">
        <v>125.76</v>
      </c>
      <c r="D48">
        <v>5.69</v>
      </c>
    </row>
    <row r="49" spans="1:4" x14ac:dyDescent="0.3">
      <c r="A49">
        <v>66.02</v>
      </c>
      <c r="B49">
        <v>1.98</v>
      </c>
      <c r="C49">
        <v>128.28</v>
      </c>
      <c r="D49">
        <v>6.58</v>
      </c>
    </row>
    <row r="50" spans="1:4" x14ac:dyDescent="0.3">
      <c r="A50">
        <v>67.88</v>
      </c>
      <c r="B50">
        <v>2.13</v>
      </c>
      <c r="C50">
        <v>119.59</v>
      </c>
      <c r="D50">
        <v>8.14</v>
      </c>
    </row>
    <row r="51" spans="1:4" x14ac:dyDescent="0.3">
      <c r="A51">
        <v>64.599999999999994</v>
      </c>
      <c r="B51">
        <v>2.0299999999999998</v>
      </c>
      <c r="C51">
        <v>129.46</v>
      </c>
      <c r="D51">
        <v>6.41</v>
      </c>
    </row>
    <row r="52" spans="1:4" x14ac:dyDescent="0.3">
      <c r="A52">
        <v>119.99</v>
      </c>
      <c r="B52">
        <v>2.69</v>
      </c>
      <c r="C52">
        <v>160.79</v>
      </c>
      <c r="D52">
        <v>8.82</v>
      </c>
    </row>
    <row r="53" spans="1:4" x14ac:dyDescent="0.3">
      <c r="A53">
        <v>66.69</v>
      </c>
      <c r="B53">
        <v>2.86</v>
      </c>
      <c r="C53">
        <v>117.01</v>
      </c>
      <c r="D53">
        <v>13.36</v>
      </c>
    </row>
    <row r="54" spans="1:4" x14ac:dyDescent="0.3">
      <c r="A54">
        <v>67.45</v>
      </c>
      <c r="B54">
        <v>2.83</v>
      </c>
      <c r="C54">
        <v>117.83</v>
      </c>
      <c r="D54">
        <v>8.4700000000000006</v>
      </c>
    </row>
    <row r="55" spans="1:4" x14ac:dyDescent="0.3">
      <c r="A55">
        <v>72.900000000000006</v>
      </c>
      <c r="B55">
        <v>2.9</v>
      </c>
      <c r="C55">
        <v>103.96</v>
      </c>
      <c r="D55">
        <v>7.73</v>
      </c>
    </row>
    <row r="56" spans="1:4" x14ac:dyDescent="0.3">
      <c r="A56">
        <v>69.81</v>
      </c>
      <c r="B56">
        <v>3.26</v>
      </c>
      <c r="C56">
        <v>137.26</v>
      </c>
      <c r="D56">
        <v>9.3800000000000008</v>
      </c>
    </row>
    <row r="57" spans="1:4" x14ac:dyDescent="0.3">
      <c r="A57">
        <v>100.6</v>
      </c>
      <c r="B57">
        <v>2.2599999999999998</v>
      </c>
      <c r="C57">
        <v>136.59</v>
      </c>
      <c r="D57">
        <v>7.46</v>
      </c>
    </row>
    <row r="58" spans="1:4" x14ac:dyDescent="0.3">
      <c r="A58">
        <v>73.44</v>
      </c>
      <c r="B58">
        <v>2.54</v>
      </c>
      <c r="C58">
        <v>103.9</v>
      </c>
      <c r="D58">
        <v>7.79</v>
      </c>
    </row>
    <row r="59" spans="1:4" x14ac:dyDescent="0.3">
      <c r="A59">
        <v>71.959999999999994</v>
      </c>
      <c r="B59">
        <v>2.62</v>
      </c>
      <c r="C59">
        <v>116.16</v>
      </c>
      <c r="D59">
        <v>7.52</v>
      </c>
    </row>
    <row r="60" spans="1:4" x14ac:dyDescent="0.3">
      <c r="A60">
        <v>67.91</v>
      </c>
      <c r="B60">
        <v>3.85</v>
      </c>
      <c r="C60">
        <v>114.24</v>
      </c>
      <c r="D60">
        <v>8.1199999999999992</v>
      </c>
    </row>
    <row r="61" spans="1:4" x14ac:dyDescent="0.3">
      <c r="A61">
        <v>69.06</v>
      </c>
      <c r="B61">
        <v>2.85</v>
      </c>
      <c r="C61">
        <v>116.6</v>
      </c>
      <c r="D61">
        <v>8.27</v>
      </c>
    </row>
    <row r="62" spans="1:4" x14ac:dyDescent="0.3">
      <c r="A62">
        <v>107.3</v>
      </c>
      <c r="B62">
        <v>2.76</v>
      </c>
      <c r="C62">
        <v>169.64</v>
      </c>
      <c r="D62">
        <v>8.32</v>
      </c>
    </row>
    <row r="63" spans="1:4" x14ac:dyDescent="0.3">
      <c r="A63">
        <v>73</v>
      </c>
      <c r="B63">
        <v>3.15</v>
      </c>
      <c r="C63">
        <v>118.87</v>
      </c>
      <c r="D63">
        <v>8.32</v>
      </c>
    </row>
    <row r="64" spans="1:4" x14ac:dyDescent="0.3">
      <c r="A64">
        <v>71.319999999999993</v>
      </c>
      <c r="B64">
        <v>2.99</v>
      </c>
      <c r="C64">
        <v>118.57</v>
      </c>
      <c r="D64">
        <v>8.42</v>
      </c>
    </row>
    <row r="65" spans="1:4" x14ac:dyDescent="0.3">
      <c r="A65">
        <v>70.88</v>
      </c>
      <c r="B65">
        <v>2.94</v>
      </c>
      <c r="C65">
        <v>115.35</v>
      </c>
      <c r="D65">
        <v>8.08</v>
      </c>
    </row>
    <row r="66" spans="1:4" x14ac:dyDescent="0.3">
      <c r="A66">
        <v>70.41</v>
      </c>
      <c r="B66">
        <v>3.36</v>
      </c>
      <c r="C66">
        <v>121.96</v>
      </c>
      <c r="D66">
        <v>8.01</v>
      </c>
    </row>
    <row r="67" spans="1:4" x14ac:dyDescent="0.3">
      <c r="A67">
        <v>91.41</v>
      </c>
      <c r="B67">
        <v>2.08</v>
      </c>
      <c r="C67">
        <v>137.52000000000001</v>
      </c>
      <c r="D67">
        <v>6.97</v>
      </c>
    </row>
    <row r="68" spans="1:4" x14ac:dyDescent="0.3">
      <c r="A68">
        <v>69.290000000000006</v>
      </c>
      <c r="B68">
        <v>3.13</v>
      </c>
      <c r="C68">
        <v>133.43</v>
      </c>
      <c r="D68">
        <v>7.66</v>
      </c>
    </row>
    <row r="69" spans="1:4" x14ac:dyDescent="0.3">
      <c r="A69">
        <v>62.6</v>
      </c>
      <c r="B69">
        <v>2.65</v>
      </c>
      <c r="C69">
        <v>135.19</v>
      </c>
      <c r="D69">
        <v>8.25</v>
      </c>
    </row>
    <row r="70" spans="1:4" x14ac:dyDescent="0.3">
      <c r="A70">
        <v>66.63</v>
      </c>
      <c r="B70">
        <v>2.68</v>
      </c>
      <c r="C70">
        <v>109.39</v>
      </c>
      <c r="D70">
        <v>7.45</v>
      </c>
    </row>
    <row r="71" spans="1:4" x14ac:dyDescent="0.3">
      <c r="A71">
        <v>66.56</v>
      </c>
      <c r="B71">
        <v>2.88</v>
      </c>
      <c r="C71">
        <v>122.91</v>
      </c>
      <c r="D71">
        <v>7.82</v>
      </c>
    </row>
    <row r="72" spans="1:4" x14ac:dyDescent="0.3">
      <c r="A72">
        <v>113.54</v>
      </c>
      <c r="B72">
        <v>1.54</v>
      </c>
      <c r="C72">
        <v>146.91</v>
      </c>
      <c r="D72">
        <v>6.8</v>
      </c>
    </row>
    <row r="73" spans="1:4" x14ac:dyDescent="0.3">
      <c r="A73">
        <v>72.959999999999994</v>
      </c>
      <c r="B73">
        <v>1.82</v>
      </c>
      <c r="C73">
        <v>117.49</v>
      </c>
      <c r="D73">
        <v>7.15</v>
      </c>
    </row>
    <row r="74" spans="1:4" x14ac:dyDescent="0.3">
      <c r="A74">
        <v>68.95</v>
      </c>
      <c r="B74">
        <v>2.0299999999999998</v>
      </c>
      <c r="C74">
        <v>118.05</v>
      </c>
      <c r="D74">
        <v>6.48</v>
      </c>
    </row>
    <row r="75" spans="1:4" x14ac:dyDescent="0.3">
      <c r="A75">
        <v>62.19</v>
      </c>
      <c r="B75">
        <v>2.0299999999999998</v>
      </c>
      <c r="C75">
        <v>105.78</v>
      </c>
      <c r="D75">
        <v>6.86</v>
      </c>
    </row>
    <row r="76" spans="1:4" x14ac:dyDescent="0.3">
      <c r="A76">
        <v>65.91</v>
      </c>
      <c r="B76">
        <v>1.95</v>
      </c>
      <c r="C76">
        <v>105.52</v>
      </c>
      <c r="D76">
        <v>10.42</v>
      </c>
    </row>
    <row r="77" spans="1:4" x14ac:dyDescent="0.3">
      <c r="A77">
        <v>98.93</v>
      </c>
      <c r="B77">
        <v>3.01</v>
      </c>
      <c r="C77">
        <v>136.25</v>
      </c>
      <c r="D77">
        <v>7.67</v>
      </c>
    </row>
    <row r="78" spans="1:4" x14ac:dyDescent="0.3">
      <c r="A78">
        <v>68.78</v>
      </c>
      <c r="B78">
        <v>3.49</v>
      </c>
      <c r="C78">
        <v>116.86</v>
      </c>
      <c r="D78">
        <v>9.14</v>
      </c>
    </row>
    <row r="79" spans="1:4" x14ac:dyDescent="0.3">
      <c r="A79">
        <v>66.14</v>
      </c>
      <c r="B79">
        <v>3.29</v>
      </c>
      <c r="C79">
        <v>157.46</v>
      </c>
      <c r="D79">
        <v>16.420000000000002</v>
      </c>
    </row>
    <row r="80" spans="1:4" x14ac:dyDescent="0.3">
      <c r="A80">
        <v>69.430000000000007</v>
      </c>
      <c r="B80">
        <v>3.28</v>
      </c>
      <c r="C80">
        <v>107.66</v>
      </c>
      <c r="D80">
        <v>8.2200000000000006</v>
      </c>
    </row>
    <row r="81" spans="1:4" x14ac:dyDescent="0.3">
      <c r="A81">
        <v>63</v>
      </c>
      <c r="B81">
        <v>3.55</v>
      </c>
      <c r="C81">
        <v>115.3</v>
      </c>
      <c r="D81">
        <v>8.51</v>
      </c>
    </row>
    <row r="82" spans="1:4" x14ac:dyDescent="0.3">
      <c r="A82">
        <v>93.87</v>
      </c>
      <c r="B82">
        <v>2.17</v>
      </c>
      <c r="C82">
        <v>152.87</v>
      </c>
      <c r="D82">
        <v>8.0399999999999991</v>
      </c>
    </row>
    <row r="83" spans="1:4" x14ac:dyDescent="0.3">
      <c r="A83">
        <v>64.67</v>
      </c>
      <c r="B83">
        <v>2.68</v>
      </c>
      <c r="C83">
        <v>114.18</v>
      </c>
      <c r="D83">
        <v>7.45</v>
      </c>
    </row>
    <row r="84" spans="1:4" x14ac:dyDescent="0.3">
      <c r="A84">
        <v>69.489999999999995</v>
      </c>
      <c r="B84">
        <v>2.61</v>
      </c>
      <c r="C84">
        <v>126.53</v>
      </c>
      <c r="D84">
        <v>7.59</v>
      </c>
    </row>
    <row r="85" spans="1:4" x14ac:dyDescent="0.3">
      <c r="A85">
        <v>74.599999999999994</v>
      </c>
      <c r="B85">
        <v>2.38</v>
      </c>
      <c r="C85">
        <v>103.82</v>
      </c>
      <c r="D85">
        <v>7.37</v>
      </c>
    </row>
    <row r="86" spans="1:4" x14ac:dyDescent="0.3">
      <c r="A86">
        <v>65.5</v>
      </c>
      <c r="B86">
        <v>2.44</v>
      </c>
      <c r="C86">
        <v>109.89</v>
      </c>
      <c r="D86">
        <v>7.61</v>
      </c>
    </row>
    <row r="87" spans="1:4" x14ac:dyDescent="0.3">
      <c r="A87">
        <v>122.17</v>
      </c>
      <c r="B87">
        <v>12.02</v>
      </c>
      <c r="C87">
        <v>155.51</v>
      </c>
      <c r="D87">
        <v>7.48</v>
      </c>
    </row>
    <row r="88" spans="1:4" x14ac:dyDescent="0.3">
      <c r="A88">
        <v>88.53</v>
      </c>
      <c r="B88">
        <v>2.38</v>
      </c>
      <c r="C88">
        <v>106.43</v>
      </c>
      <c r="D88">
        <v>17.100000000000001</v>
      </c>
    </row>
    <row r="89" spans="1:4" x14ac:dyDescent="0.3">
      <c r="A89">
        <v>84.88</v>
      </c>
      <c r="B89">
        <v>2.36</v>
      </c>
      <c r="C89">
        <v>109.23</v>
      </c>
      <c r="D89">
        <v>7.48</v>
      </c>
    </row>
    <row r="90" spans="1:4" x14ac:dyDescent="0.3">
      <c r="A90">
        <v>90.16</v>
      </c>
      <c r="B90">
        <v>2.92</v>
      </c>
      <c r="C90">
        <v>104.26</v>
      </c>
      <c r="D90">
        <v>7.96</v>
      </c>
    </row>
    <row r="91" spans="1:4" x14ac:dyDescent="0.3">
      <c r="A91">
        <v>86.5</v>
      </c>
      <c r="B91">
        <v>2.5499999999999998</v>
      </c>
      <c r="C91">
        <v>110</v>
      </c>
      <c r="D91">
        <v>7.85</v>
      </c>
    </row>
    <row r="92" spans="1:4" x14ac:dyDescent="0.3">
      <c r="A92">
        <v>185.03</v>
      </c>
      <c r="B92">
        <v>3.78</v>
      </c>
      <c r="C92">
        <v>219.7</v>
      </c>
      <c r="D92">
        <v>8.31</v>
      </c>
    </row>
    <row r="93" spans="1:4" x14ac:dyDescent="0.3">
      <c r="A93">
        <v>85.78</v>
      </c>
      <c r="B93">
        <v>3.35</v>
      </c>
      <c r="C93">
        <v>95.23</v>
      </c>
      <c r="D93">
        <v>9.69</v>
      </c>
    </row>
    <row r="94" spans="1:4" x14ac:dyDescent="0.3">
      <c r="A94">
        <v>87.43</v>
      </c>
      <c r="B94">
        <v>3.43</v>
      </c>
      <c r="C94">
        <v>110.52</v>
      </c>
      <c r="D94">
        <v>9</v>
      </c>
    </row>
    <row r="95" spans="1:4" x14ac:dyDescent="0.3">
      <c r="A95">
        <v>81.87</v>
      </c>
      <c r="B95">
        <v>4.47</v>
      </c>
      <c r="C95">
        <v>102.19</v>
      </c>
      <c r="D95">
        <v>9.93</v>
      </c>
    </row>
    <row r="96" spans="1:4" x14ac:dyDescent="0.3">
      <c r="A96">
        <v>70.349999999999994</v>
      </c>
      <c r="B96">
        <v>3.61</v>
      </c>
      <c r="C96">
        <v>110.39</v>
      </c>
      <c r="D96">
        <v>12.36</v>
      </c>
    </row>
    <row r="97" spans="1:4" x14ac:dyDescent="0.3">
      <c r="A97">
        <v>102.5</v>
      </c>
      <c r="B97">
        <v>2.77</v>
      </c>
      <c r="C97">
        <v>142.88</v>
      </c>
      <c r="D97">
        <v>7.8</v>
      </c>
    </row>
    <row r="98" spans="1:4" x14ac:dyDescent="0.3">
      <c r="A98">
        <v>73.84</v>
      </c>
      <c r="B98">
        <v>3.5</v>
      </c>
      <c r="C98">
        <v>104.19</v>
      </c>
      <c r="D98">
        <v>8.67</v>
      </c>
    </row>
    <row r="99" spans="1:4" x14ac:dyDescent="0.3">
      <c r="A99">
        <v>72.599999999999994</v>
      </c>
      <c r="B99">
        <v>2.87</v>
      </c>
      <c r="C99">
        <v>96.68</v>
      </c>
      <c r="D99">
        <v>8.0299999999999994</v>
      </c>
    </row>
    <row r="100" spans="1:4" x14ac:dyDescent="0.3">
      <c r="A100">
        <v>83.11</v>
      </c>
      <c r="B100">
        <v>2.98</v>
      </c>
      <c r="C100">
        <v>91.41</v>
      </c>
      <c r="D100">
        <v>8.02</v>
      </c>
    </row>
    <row r="101" spans="1:4" x14ac:dyDescent="0.3">
      <c r="A101">
        <v>73.08</v>
      </c>
      <c r="B101">
        <v>3.14</v>
      </c>
      <c r="C101">
        <v>104.69</v>
      </c>
      <c r="D101">
        <v>14.47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F2BD-7AC2-4C27-8AD0-BE238B947108}">
  <dimension ref="A1:U56"/>
  <sheetViews>
    <sheetView tabSelected="1" topLeftCell="A41" zoomScaleNormal="100" workbookViewId="0">
      <selection activeCell="J59" sqref="J59"/>
    </sheetView>
  </sheetViews>
  <sheetFormatPr defaultRowHeight="14.4" x14ac:dyDescent="0.3"/>
  <cols>
    <col min="1" max="1" width="12.6640625" customWidth="1"/>
    <col min="4" max="4" width="10" customWidth="1"/>
    <col min="11" max="11" width="10.109375" customWidth="1"/>
  </cols>
  <sheetData>
    <row r="1" spans="1:13" ht="15" thickBot="1" x14ac:dyDescent="0.35">
      <c r="A1" s="11" t="s">
        <v>20</v>
      </c>
      <c r="B1" s="11"/>
      <c r="C1" s="11"/>
      <c r="D1" s="11"/>
      <c r="E1" s="11"/>
      <c r="F1" s="10"/>
    </row>
    <row r="2" spans="1:13" ht="15" thickBot="1" x14ac:dyDescent="0.35">
      <c r="A2" s="1" t="s">
        <v>0</v>
      </c>
      <c r="B2" s="2" t="s">
        <v>26</v>
      </c>
      <c r="C2" s="2" t="s">
        <v>27</v>
      </c>
      <c r="D2" s="2" t="s">
        <v>28</v>
      </c>
      <c r="E2" s="1" t="s">
        <v>29</v>
      </c>
      <c r="F2" s="6"/>
      <c r="H2" s="1" t="s">
        <v>22</v>
      </c>
      <c r="I2" s="2" t="s">
        <v>26</v>
      </c>
      <c r="J2" s="2" t="s">
        <v>27</v>
      </c>
      <c r="K2" s="2" t="s">
        <v>28</v>
      </c>
      <c r="L2" s="1" t="s">
        <v>29</v>
      </c>
      <c r="M2" s="6"/>
    </row>
    <row r="3" spans="1:13" ht="15" thickBot="1" x14ac:dyDescent="0.35">
      <c r="A3" s="3" t="s">
        <v>1</v>
      </c>
      <c r="B3" s="5" cm="1">
        <f t="array" aca="1" ref="B3" ca="1">INDIRECT("'" &amp; $A3 &amp; "'!I2")</f>
        <v>1595.6638000000003</v>
      </c>
      <c r="C3" s="5" cm="1">
        <f t="array" aca="1" ref="C3" ca="1">INDIRECT("'" &amp; $A3 &amp; "'!J2")</f>
        <v>23.868999999999993</v>
      </c>
      <c r="D3" s="5" cm="1">
        <f t="array" aca="1" ref="D3" ca="1">INDIRECT("'" &amp; $A3 &amp; "'!K2")</f>
        <v>1622.7807999999993</v>
      </c>
      <c r="E3" s="8" cm="1">
        <f t="array" aca="1" ref="E3" ca="1">INDIRECT("'" &amp; $A3 &amp; "'!L2")</f>
        <v>0.69359999999999988</v>
      </c>
      <c r="F3" s="7"/>
      <c r="H3" t="s">
        <v>23</v>
      </c>
      <c r="I3" s="4">
        <f ca="1">AVERAGE(B3:B12)</f>
        <v>3247.9219499999999</v>
      </c>
      <c r="J3" s="4">
        <f t="shared" ref="J3:L3" ca="1" si="0">AVERAGE(C3:C12)</f>
        <v>29.25177</v>
      </c>
      <c r="K3" s="4">
        <f t="shared" ca="1" si="0"/>
        <v>2380.0149699999997</v>
      </c>
      <c r="L3" s="4">
        <f t="shared" ca="1" si="0"/>
        <v>33.197149999999993</v>
      </c>
      <c r="M3" s="4"/>
    </row>
    <row r="4" spans="1:13" ht="15" thickBot="1" x14ac:dyDescent="0.35">
      <c r="A4" s="3" t="s">
        <v>2</v>
      </c>
      <c r="B4" s="5" cm="1">
        <f t="array" aca="1" ref="B4" ca="1">INDIRECT("'" &amp; $A4 &amp; "'!I2")</f>
        <v>1303.2593999999999</v>
      </c>
      <c r="C4" s="5" cm="1">
        <f t="array" aca="1" ref="C4" ca="1">INDIRECT("'" &amp; $A4 &amp; "'!J2")</f>
        <v>19.517600000000002</v>
      </c>
      <c r="D4" s="5" cm="1">
        <f t="array" aca="1" ref="D4" ca="1">INDIRECT("'" &amp; $A4 &amp; "'!K2")</f>
        <v>1302.7999999999995</v>
      </c>
      <c r="E4" s="8" cm="1">
        <f t="array" aca="1" ref="E4" ca="1">INDIRECT("'" &amp; $A4 &amp; "'!L2")</f>
        <v>0.97390000000000032</v>
      </c>
      <c r="F4" s="7"/>
      <c r="H4" t="s">
        <v>24</v>
      </c>
      <c r="I4" s="4">
        <f ca="1">AVERAGE(B13:B15)</f>
        <v>709.1785666666666</v>
      </c>
      <c r="J4" s="4">
        <f t="shared" ref="J4:L4" ca="1" si="1">AVERAGE(C13:C15)</f>
        <v>216.92089999999996</v>
      </c>
      <c r="K4" s="4">
        <f t="shared" ca="1" si="1"/>
        <v>407.94119999999992</v>
      </c>
      <c r="L4" s="4">
        <f t="shared" ca="1" si="1"/>
        <v>40.052699999999994</v>
      </c>
      <c r="M4" s="4"/>
    </row>
    <row r="5" spans="1:13" ht="15" thickBot="1" x14ac:dyDescent="0.35">
      <c r="A5" s="3" t="s">
        <v>3</v>
      </c>
      <c r="B5" s="5" cm="1">
        <f t="array" aca="1" ref="B5" ca="1">INDIRECT("'" &amp; $A5 &amp; "'!I2")</f>
        <v>1550.6812</v>
      </c>
      <c r="C5" s="5" cm="1">
        <f t="array" aca="1" ref="C5" ca="1">INDIRECT("'" &amp; $A5 &amp; "'!J2")</f>
        <v>21.89820000000001</v>
      </c>
      <c r="D5" s="5" cm="1">
        <f t="array" aca="1" ref="D5" ca="1">INDIRECT("'" &amp; $A5 &amp; "'!K2")</f>
        <v>1539.0365999999997</v>
      </c>
      <c r="E5" s="8" cm="1">
        <f t="array" aca="1" ref="E5" ca="1">INDIRECT("'" &amp; $A5 &amp; "'!L2")</f>
        <v>1.6500999999999992</v>
      </c>
      <c r="F5" s="7"/>
      <c r="H5" t="s">
        <v>25</v>
      </c>
      <c r="I5" s="4">
        <f ca="1">AVERAGE(B16:B18)</f>
        <v>311.75483333333335</v>
      </c>
      <c r="J5" s="4">
        <f t="shared" ref="J5:L5" ca="1" si="2">AVERAGE(C16:C18)</f>
        <v>39.682133333333311</v>
      </c>
      <c r="K5" s="4">
        <f t="shared" ca="1" si="2"/>
        <v>715.05240000000003</v>
      </c>
      <c r="L5" s="4">
        <f t="shared" ca="1" si="2"/>
        <v>42.468966666666667</v>
      </c>
      <c r="M5" s="4"/>
    </row>
    <row r="6" spans="1:13" ht="15" thickBot="1" x14ac:dyDescent="0.35">
      <c r="A6" s="3" t="s">
        <v>4</v>
      </c>
      <c r="B6" s="5" cm="1">
        <f t="array" aca="1" ref="B6" ca="1">INDIRECT("'" &amp; $A6 &amp; "'!I2")</f>
        <v>2001.9052999999997</v>
      </c>
      <c r="C6" s="5" cm="1">
        <f t="array" aca="1" ref="C6" ca="1">INDIRECT("'" &amp; $A6 &amp; "'!J2")</f>
        <v>18.404899999999998</v>
      </c>
      <c r="D6" s="5" cm="1">
        <f t="array" aca="1" ref="D6" ca="1">INDIRECT("'" &amp; $A6 &amp; "'!K2")</f>
        <v>1883.1569000000011</v>
      </c>
      <c r="E6" s="8" cm="1">
        <f t="array" aca="1" ref="E6" ca="1">INDIRECT("'" &amp; $A6 &amp; "'!L2")</f>
        <v>0.68400000000000016</v>
      </c>
      <c r="F6" s="7"/>
    </row>
    <row r="7" spans="1:13" ht="15" thickBot="1" x14ac:dyDescent="0.35">
      <c r="A7" s="3" t="s">
        <v>5</v>
      </c>
      <c r="B7" s="5" cm="1">
        <f t="array" aca="1" ref="B7" ca="1">INDIRECT("'" &amp; $A7 &amp; "'!I2")</f>
        <v>1013.3381999999998</v>
      </c>
      <c r="C7" s="5" cm="1">
        <f t="array" aca="1" ref="C7" ca="1">INDIRECT("'" &amp; $A7 &amp; "'!J2")</f>
        <v>17.314899999999994</v>
      </c>
      <c r="D7" s="5" cm="1">
        <f t="array" aca="1" ref="D7" ca="1">INDIRECT("'" &amp; $A7 &amp; "'!K2")</f>
        <v>766.48710000000017</v>
      </c>
      <c r="E7" s="8" cm="1">
        <f t="array" aca="1" ref="E7" ca="1">INDIRECT("'" &amp; $A7 &amp; "'!L2")</f>
        <v>18.222199999999997</v>
      </c>
      <c r="F7" s="7"/>
    </row>
    <row r="8" spans="1:13" ht="15" thickBot="1" x14ac:dyDescent="0.35">
      <c r="A8" s="3" t="s">
        <v>6</v>
      </c>
      <c r="B8" s="5" cm="1">
        <f t="array" aca="1" ref="B8" ca="1">INDIRECT("'" &amp; $A8 &amp; "'!I2")</f>
        <v>2016.0223999999996</v>
      </c>
      <c r="C8" s="5" cm="1">
        <f t="array" aca="1" ref="C8" ca="1">INDIRECT("'" &amp; $A8 &amp; "'!J2")</f>
        <v>19.8904</v>
      </c>
      <c r="D8" s="5" cm="1">
        <f t="array" aca="1" ref="D8" ca="1">INDIRECT("'" &amp; $A8 &amp; "'!K2")</f>
        <v>998.04989999999987</v>
      </c>
      <c r="E8" s="8" cm="1">
        <f t="array" aca="1" ref="E8" ca="1">INDIRECT("'" &amp; $A8 &amp; "'!L2")</f>
        <v>17.43330000000001</v>
      </c>
      <c r="F8" s="7"/>
    </row>
    <row r="9" spans="1:13" ht="15" thickBot="1" x14ac:dyDescent="0.35">
      <c r="A9" s="3" t="s">
        <v>7</v>
      </c>
      <c r="B9" s="5" cm="1">
        <f t="array" aca="1" ref="B9" ca="1">INDIRECT("'" &amp; $A9 &amp; "'!I2")</f>
        <v>5560.5175000000008</v>
      </c>
      <c r="C9" s="5" cm="1">
        <f t="array" aca="1" ref="C9" ca="1">INDIRECT("'" &amp; $A9 &amp; "'!J2")</f>
        <v>41.408999999999999</v>
      </c>
      <c r="D9" s="5" cm="1">
        <f t="array" aca="1" ref="D9" ca="1">INDIRECT("'" &amp; $A9 &amp; "'!K2")</f>
        <v>3776.7498999999993</v>
      </c>
      <c r="E9" s="8" cm="1">
        <f t="array" aca="1" ref="E9" ca="1">INDIRECT("'" &amp; $A9 &amp; "'!L2")</f>
        <v>80.22920000000002</v>
      </c>
      <c r="F9" s="7"/>
    </row>
    <row r="10" spans="1:13" ht="15" thickBot="1" x14ac:dyDescent="0.35">
      <c r="A10" s="3" t="s">
        <v>8</v>
      </c>
      <c r="B10" s="5" cm="1">
        <f t="array" aca="1" ref="B10" ca="1">INDIRECT("'" &amp; $A10 &amp; "'!I2")</f>
        <v>5902.7934000000005</v>
      </c>
      <c r="C10" s="5" cm="1">
        <f t="array" aca="1" ref="C10" ca="1">INDIRECT("'" &amp; $A10 &amp; "'!J2")</f>
        <v>42.210699999999967</v>
      </c>
      <c r="D10" s="5" cm="1">
        <f t="array" aca="1" ref="D10" ca="1">INDIRECT("'" &amp; $A10 &amp; "'!K2")</f>
        <v>3889.1134000000006</v>
      </c>
      <c r="E10" s="8" cm="1">
        <f t="array" aca="1" ref="E10" ca="1">INDIRECT("'" &amp; $A10 &amp; "'!L2")</f>
        <v>68.913200000000003</v>
      </c>
      <c r="F10" s="7"/>
    </row>
    <row r="11" spans="1:13" ht="15" thickBot="1" x14ac:dyDescent="0.35">
      <c r="A11" s="3" t="s">
        <v>9</v>
      </c>
      <c r="B11" s="5" cm="1">
        <f t="array" aca="1" ref="B11" ca="1">INDIRECT("'" &amp; $A11 &amp; "'!I2")</f>
        <v>5677.983000000002</v>
      </c>
      <c r="C11" s="5" cm="1">
        <f t="array" aca="1" ref="C11" ca="1">INDIRECT("'" &amp; $A11 &amp; "'!J2")</f>
        <v>44.913300000000021</v>
      </c>
      <c r="D11" s="5" cm="1">
        <f t="array" aca="1" ref="D11" ca="1">INDIRECT("'" &amp; $A11 &amp; "'!K2")</f>
        <v>3931.6689000000001</v>
      </c>
      <c r="E11" s="8" cm="1">
        <f t="array" aca="1" ref="E11" ca="1">INDIRECT("'" &amp; $A11 &amp; "'!L2")</f>
        <v>73.470999999999975</v>
      </c>
      <c r="F11" s="7"/>
    </row>
    <row r="12" spans="1:13" ht="15" thickBot="1" x14ac:dyDescent="0.35">
      <c r="A12" s="3" t="s">
        <v>10</v>
      </c>
      <c r="B12" s="5" cm="1">
        <f t="array" aca="1" ref="B12" ca="1">INDIRECT("'" &amp; $A12 &amp; "'!I2")</f>
        <v>5857.0552999999991</v>
      </c>
      <c r="C12" s="5" cm="1">
        <f t="array" aca="1" ref="C12" ca="1">INDIRECT("'" &amp; $A12 &amp; "'!J2")</f>
        <v>43.089700000000001</v>
      </c>
      <c r="D12" s="5" cm="1">
        <f t="array" aca="1" ref="D12" ca="1">INDIRECT("'" &amp; $A12 &amp; "'!K2")</f>
        <v>4090.3061999999986</v>
      </c>
      <c r="E12" s="8" cm="1">
        <f t="array" aca="1" ref="E12" ca="1">INDIRECT("'" &amp; $A12 &amp; "'!L2")</f>
        <v>69.700999999999979</v>
      </c>
      <c r="F12" s="7"/>
    </row>
    <row r="13" spans="1:13" ht="15" thickBot="1" x14ac:dyDescent="0.35">
      <c r="A13" s="3" t="s">
        <v>11</v>
      </c>
      <c r="B13" s="5" cm="1">
        <f t="array" aca="1" ref="B13" ca="1">INDIRECT("'" &amp; $A13 &amp; "'!I2")</f>
        <v>403.79870000000011</v>
      </c>
      <c r="C13" s="5" cm="1">
        <f t="array" aca="1" ref="C13" ca="1">INDIRECT("'" &amp; $A13 &amp; "'!J2")</f>
        <v>378.14279999999997</v>
      </c>
      <c r="D13" s="5" cm="1">
        <f t="array" aca="1" ref="D13" ca="1">INDIRECT("'" &amp; $A13 &amp; "'!K2")</f>
        <v>232.60730000000004</v>
      </c>
      <c r="E13" s="8" cm="1">
        <f t="array" aca="1" ref="E13" ca="1">INDIRECT("'" &amp; $A13 &amp; "'!L2")</f>
        <v>63.2605</v>
      </c>
      <c r="F13" s="7"/>
      <c r="I13" s="4">
        <f ca="1">I3-Q23</f>
        <v>121.99395000000004</v>
      </c>
      <c r="J13" s="4">
        <f t="shared" ref="J13:L15" ca="1" si="3">J3-R23</f>
        <v>2.0497700000000023</v>
      </c>
      <c r="K13" s="4">
        <f t="shared" ca="1" si="3"/>
        <v>229.68397000000004</v>
      </c>
      <c r="L13" s="4">
        <f t="shared" ca="1" si="3"/>
        <v>8.5311499999999896</v>
      </c>
      <c r="M13" s="4"/>
    </row>
    <row r="14" spans="1:13" ht="15" thickBot="1" x14ac:dyDescent="0.35">
      <c r="A14" s="3" t="s">
        <v>12</v>
      </c>
      <c r="B14" s="5" cm="1">
        <f t="array" aca="1" ref="B14" ca="1">INDIRECT("'" &amp; $A14 &amp; "'!I2")</f>
        <v>1216.1628999999996</v>
      </c>
      <c r="C14" s="5" cm="1">
        <f t="array" aca="1" ref="C14" ca="1">INDIRECT("'" &amp; $A14 &amp; "'!J2")</f>
        <v>104.70900000000002</v>
      </c>
      <c r="D14" s="5" cm="1">
        <f t="array" aca="1" ref="D14" ca="1">INDIRECT("'" &amp; $A14 &amp; "'!K2")</f>
        <v>348.86649999999986</v>
      </c>
      <c r="E14" s="8" cm="1">
        <f t="array" aca="1" ref="E14" ca="1">INDIRECT("'" &amp; $A14 &amp; "'!L2")</f>
        <v>25.986299999999993</v>
      </c>
      <c r="F14" s="7"/>
      <c r="I14" s="4">
        <f t="shared" ref="I14:I15" ca="1" si="4">I4-Q24</f>
        <v>477.77023333333329</v>
      </c>
      <c r="J14" s="4">
        <f t="shared" ca="1" si="3"/>
        <v>88.800899999999956</v>
      </c>
      <c r="K14" s="4">
        <f t="shared" ca="1" si="3"/>
        <v>197.8761999999999</v>
      </c>
      <c r="L14" s="4">
        <f t="shared" ca="1" si="3"/>
        <v>7.9293666666666596</v>
      </c>
      <c r="M14" s="4"/>
    </row>
    <row r="15" spans="1:13" ht="15" thickBot="1" x14ac:dyDescent="0.35">
      <c r="A15" s="3" t="s">
        <v>13</v>
      </c>
      <c r="B15" s="5" cm="1">
        <f t="array" aca="1" ref="B15" ca="1">INDIRECT("'" &amp; $A15 &amp; "'!I2")</f>
        <v>507.5741000000001</v>
      </c>
      <c r="C15" s="5" cm="1">
        <f t="array" aca="1" ref="C15" ca="1">INDIRECT("'" &amp; $A15 &amp; "'!J2")</f>
        <v>167.91089999999994</v>
      </c>
      <c r="D15" s="5" cm="1">
        <f t="array" aca="1" ref="D15" ca="1">INDIRECT("'" &amp; $A15 &amp; "'!K2")</f>
        <v>642.34979999999985</v>
      </c>
      <c r="E15" s="8" cm="1">
        <f t="array" aca="1" ref="E15" ca="1">INDIRECT("'" &amp; $A15 &amp; "'!L2")</f>
        <v>30.911299999999994</v>
      </c>
      <c r="F15" s="7"/>
      <c r="I15" s="4">
        <f t="shared" ca="1" si="4"/>
        <v>117.0831666666667</v>
      </c>
      <c r="J15" s="4">
        <f t="shared" ca="1" si="3"/>
        <v>8.5637999999999757</v>
      </c>
      <c r="K15" s="4">
        <f t="shared" ca="1" si="3"/>
        <v>384.83906666666667</v>
      </c>
      <c r="L15" s="4">
        <f t="shared" ca="1" si="3"/>
        <v>6.2756333333333316</v>
      </c>
      <c r="M15" s="4"/>
    </row>
    <row r="16" spans="1:13" ht="15" thickBot="1" x14ac:dyDescent="0.35">
      <c r="A16" s="3" t="s">
        <v>14</v>
      </c>
      <c r="B16" s="5" cm="1">
        <f t="array" aca="1" ref="B16" ca="1">INDIRECT("'" &amp; $A16 &amp; "'!I2")</f>
        <v>358.30340000000001</v>
      </c>
      <c r="C16" s="5" cm="1">
        <f t="array" aca="1" ref="C16" ca="1">INDIRECT("'" &amp; $A16 &amp; "'!J2")</f>
        <v>5.8167999999999997</v>
      </c>
      <c r="D16" s="5" cm="1">
        <f t="array" aca="1" ref="D16" ca="1">INDIRECT("'" &amp; $A16 &amp; "'!K2")</f>
        <v>429.80150000000003</v>
      </c>
      <c r="E16" s="8" cm="1">
        <f t="array" aca="1" ref="E16" ca="1">INDIRECT("'" &amp; $A16 &amp; "'!L2")</f>
        <v>19.502699999999987</v>
      </c>
      <c r="F16" s="7"/>
    </row>
    <row r="17" spans="1:21" ht="15" thickBot="1" x14ac:dyDescent="0.35">
      <c r="A17" s="3" t="s">
        <v>15</v>
      </c>
      <c r="B17" s="5" cm="1">
        <f t="array" aca="1" ref="B17" ca="1">INDIRECT("'" &amp; $A17 &amp; "'!I2")</f>
        <v>500.73650000000009</v>
      </c>
      <c r="C17" s="5" cm="1">
        <f t="array" aca="1" ref="C17" ca="1">INDIRECT("'" &amp; $A17 &amp; "'!J2")</f>
        <v>109.99789999999993</v>
      </c>
      <c r="D17" s="5" cm="1">
        <f t="array" aca="1" ref="D17" ca="1">INDIRECT("'" &amp; $A17 &amp; "'!K2")</f>
        <v>1595.4133000000002</v>
      </c>
      <c r="E17" s="8" cm="1">
        <f t="array" aca="1" ref="E17" ca="1">INDIRECT("'" &amp; $A17 &amp; "'!L2")</f>
        <v>99.491100000000017</v>
      </c>
      <c r="F17" s="7"/>
    </row>
    <row r="18" spans="1:21" ht="15" thickBot="1" x14ac:dyDescent="0.35">
      <c r="A18" s="3" t="s">
        <v>16</v>
      </c>
      <c r="B18" s="5" cm="1">
        <f t="array" aca="1" ref="B18" ca="1">INDIRECT("'" &amp; $A18 &amp; "'!I2")</f>
        <v>76.224599999999995</v>
      </c>
      <c r="C18" s="5" cm="1">
        <f t="array" aca="1" ref="C18" ca="1">INDIRECT("'" &amp; $A18 &amp; "'!J2")</f>
        <v>3.2317000000000013</v>
      </c>
      <c r="D18" s="5" cm="1">
        <f t="array" aca="1" ref="D18" ca="1">INDIRECT("'" &amp; $A18 &amp; "'!K2")</f>
        <v>119.94240000000002</v>
      </c>
      <c r="E18" s="8" cm="1">
        <f t="array" aca="1" ref="E18" ca="1">INDIRECT("'" &amp; $A18 &amp; "'!L2")</f>
        <v>8.4131</v>
      </c>
      <c r="F18" s="7"/>
    </row>
    <row r="20" spans="1:21" ht="15" thickBot="1" x14ac:dyDescent="0.35">
      <c r="A20" s="11" t="s">
        <v>17</v>
      </c>
      <c r="B20" s="11"/>
      <c r="C20" s="11"/>
      <c r="D20" s="11"/>
      <c r="E20" s="11"/>
      <c r="F20" s="9"/>
    </row>
    <row r="21" spans="1:21" ht="15" thickBot="1" x14ac:dyDescent="0.35">
      <c r="A21" s="1" t="s">
        <v>0</v>
      </c>
      <c r="B21" s="2" t="s">
        <v>26</v>
      </c>
      <c r="C21" s="2" t="s">
        <v>27</v>
      </c>
      <c r="D21" s="2" t="s">
        <v>28</v>
      </c>
      <c r="E21" s="1" t="s">
        <v>29</v>
      </c>
      <c r="F21" s="6"/>
    </row>
    <row r="22" spans="1:21" ht="15" thickBot="1" x14ac:dyDescent="0.35">
      <c r="A22" s="3" t="s">
        <v>1</v>
      </c>
      <c r="B22" s="5" cm="1">
        <f t="array" aca="1" ref="B22" ca="1">INDIRECT("'" &amp; $A22 &amp; "'!I3")</f>
        <v>1565.8899999999999</v>
      </c>
      <c r="C22" s="5" cm="1">
        <f t="array" aca="1" ref="C22" ca="1">INDIRECT("'" &amp; $A22 &amp; "'!J3")</f>
        <v>21.34</v>
      </c>
      <c r="D22" s="5" cm="1">
        <f t="array" aca="1" ref="D22" ca="1">INDIRECT("'" &amp; $A22 &amp; "'!K3")</f>
        <v>1597.5550000000001</v>
      </c>
      <c r="E22" s="8" cm="1">
        <f t="array" aca="1" ref="E22" ca="1">INDIRECT("'" &amp; $A22 &amp; "'!L3")</f>
        <v>0.66</v>
      </c>
      <c r="F22" s="7"/>
      <c r="J22" s="4">
        <f ca="1">B3-B22</f>
        <v>29.773800000000392</v>
      </c>
      <c r="K22" s="4">
        <f t="shared" ref="K22:M37" ca="1" si="5">C3-C22</f>
        <v>2.5289999999999928</v>
      </c>
      <c r="L22" s="4">
        <f t="shared" ca="1" si="5"/>
        <v>25.225799999999253</v>
      </c>
      <c r="M22" s="4">
        <f t="shared" ca="1" si="5"/>
        <v>3.3599999999999852E-2</v>
      </c>
      <c r="N22" s="4"/>
      <c r="P22" s="1" t="s">
        <v>22</v>
      </c>
      <c r="Q22" s="2" t="s">
        <v>26</v>
      </c>
      <c r="R22" s="2" t="s">
        <v>27</v>
      </c>
      <c r="S22" s="2" t="s">
        <v>28</v>
      </c>
      <c r="T22" s="1" t="s">
        <v>29</v>
      </c>
      <c r="U22" s="6"/>
    </row>
    <row r="23" spans="1:21" ht="15" thickBot="1" x14ac:dyDescent="0.35">
      <c r="A23" s="3" t="s">
        <v>2</v>
      </c>
      <c r="B23" s="5" cm="1">
        <f t="array" aca="1" ref="B23" ca="1">INDIRECT("'" &amp; $A23 &amp; "'!I3")</f>
        <v>1271.0350000000001</v>
      </c>
      <c r="C23" s="5" cm="1">
        <f t="array" aca="1" ref="C23" ca="1">INDIRECT("'" &amp; $A23 &amp; "'!J3")</f>
        <v>18.13</v>
      </c>
      <c r="D23" s="5" cm="1">
        <f t="array" aca="1" ref="D23" ca="1">INDIRECT("'" &amp; $A23 &amp; "'!K3")</f>
        <v>1281.94</v>
      </c>
      <c r="E23" s="8" cm="1">
        <f t="array" aca="1" ref="E23" ca="1">INDIRECT("'" &amp; $A23 &amp; "'!L3")</f>
        <v>0.76500000000000001</v>
      </c>
      <c r="F23" s="7"/>
      <c r="J23" s="4">
        <f t="shared" ref="J23:J37" ca="1" si="6">B4-B23</f>
        <v>32.224399999999832</v>
      </c>
      <c r="K23" s="4">
        <f t="shared" ca="1" si="5"/>
        <v>1.3876000000000026</v>
      </c>
      <c r="L23" s="4">
        <f t="shared" ca="1" si="5"/>
        <v>20.859999999999445</v>
      </c>
      <c r="M23" s="4">
        <f t="shared" ca="1" si="5"/>
        <v>0.20890000000000031</v>
      </c>
      <c r="N23" s="4"/>
      <c r="P23" t="s">
        <v>23</v>
      </c>
      <c r="Q23" s="4">
        <f ca="1">AVERAGE(B22:B31)</f>
        <v>3125.9279999999999</v>
      </c>
      <c r="R23" s="4">
        <f t="shared" ref="R23:T23" ca="1" si="7">AVERAGE(C22:C31)</f>
        <v>27.201999999999998</v>
      </c>
      <c r="S23" s="4">
        <f t="shared" ca="1" si="7"/>
        <v>2150.3309999999997</v>
      </c>
      <c r="T23" s="4">
        <f t="shared" ca="1" si="7"/>
        <v>24.666000000000004</v>
      </c>
      <c r="U23" s="4"/>
    </row>
    <row r="24" spans="1:21" ht="15" thickBot="1" x14ac:dyDescent="0.35">
      <c r="A24" s="3" t="s">
        <v>3</v>
      </c>
      <c r="B24" s="5" cm="1">
        <f t="array" aca="1" ref="B24" ca="1">INDIRECT("'" &amp; $A24 &amp; "'!I3")</f>
        <v>1494.6949999999999</v>
      </c>
      <c r="C24" s="5" cm="1">
        <f t="array" aca="1" ref="C24" ca="1">INDIRECT("'" &amp; $A24 &amp; "'!J3")</f>
        <v>20.16</v>
      </c>
      <c r="D24" s="5" cm="1">
        <f t="array" aca="1" ref="D24" ca="1">INDIRECT("'" &amp; $A24 &amp; "'!K3")</f>
        <v>1505.38</v>
      </c>
      <c r="E24" s="8" cm="1">
        <f t="array" aca="1" ref="E24" ca="1">INDIRECT("'" &amp; $A24 &amp; "'!L3")</f>
        <v>0.68</v>
      </c>
      <c r="F24" s="7"/>
      <c r="J24" s="4">
        <f t="shared" ca="1" si="6"/>
        <v>55.986200000000053</v>
      </c>
      <c r="K24" s="4">
        <f t="shared" ca="1" si="5"/>
        <v>1.7382000000000097</v>
      </c>
      <c r="L24" s="4">
        <f t="shared" ca="1" si="5"/>
        <v>33.656599999999571</v>
      </c>
      <c r="M24" s="4">
        <f t="shared" ca="1" si="5"/>
        <v>0.97009999999999919</v>
      </c>
      <c r="N24" s="4"/>
      <c r="P24" t="s">
        <v>24</v>
      </c>
      <c r="Q24" s="4">
        <f ca="1">AVERAGE(B32:B34)</f>
        <v>231.40833333333333</v>
      </c>
      <c r="R24" s="4">
        <f t="shared" ref="R24:T24" ca="1" si="8">AVERAGE(C32:C34)</f>
        <v>128.12</v>
      </c>
      <c r="S24" s="4">
        <f t="shared" ca="1" si="8"/>
        <v>210.06500000000003</v>
      </c>
      <c r="T24" s="4">
        <f t="shared" ca="1" si="8"/>
        <v>32.123333333333335</v>
      </c>
      <c r="U24" s="4"/>
    </row>
    <row r="25" spans="1:21" ht="15" thickBot="1" x14ac:dyDescent="0.35">
      <c r="A25" s="3" t="s">
        <v>4</v>
      </c>
      <c r="B25" s="5" cm="1">
        <f t="array" aca="1" ref="B25" ca="1">INDIRECT("'" &amp; $A25 &amp; "'!I3")</f>
        <v>1540.2249999999999</v>
      </c>
      <c r="C25" s="5" cm="1">
        <f t="array" aca="1" ref="C25" ca="1">INDIRECT("'" &amp; $A25 &amp; "'!J3")</f>
        <v>12.09</v>
      </c>
      <c r="D25" s="5" cm="1">
        <f t="array" aca="1" ref="D25" ca="1">INDIRECT("'" &amp; $A25 &amp; "'!K3")</f>
        <v>1554.095</v>
      </c>
      <c r="E25" s="8" cm="1">
        <f t="array" aca="1" ref="E25" ca="1">INDIRECT("'" &amp; $A25 &amp; "'!L3")</f>
        <v>0.56000000000000005</v>
      </c>
      <c r="F25" s="7"/>
      <c r="J25" s="4">
        <f t="shared" ca="1" si="6"/>
        <v>461.68029999999976</v>
      </c>
      <c r="K25" s="4">
        <f t="shared" ca="1" si="5"/>
        <v>6.314899999999998</v>
      </c>
      <c r="L25" s="4">
        <f t="shared" ca="1" si="5"/>
        <v>329.06190000000106</v>
      </c>
      <c r="M25" s="4">
        <f t="shared" ca="1" si="5"/>
        <v>0.12400000000000011</v>
      </c>
      <c r="N25" s="4"/>
      <c r="P25" t="s">
        <v>25</v>
      </c>
      <c r="Q25" s="4">
        <f ca="1">AVERAGE(B35:B37)</f>
        <v>194.67166666666665</v>
      </c>
      <c r="R25" s="4">
        <f t="shared" ref="R25:T25" ca="1" si="9">AVERAGE(C35:C37)</f>
        <v>31.118333333333336</v>
      </c>
      <c r="S25" s="4">
        <f t="shared" ca="1" si="9"/>
        <v>330.21333333333337</v>
      </c>
      <c r="T25" s="4">
        <f t="shared" ca="1" si="9"/>
        <v>36.193333333333335</v>
      </c>
      <c r="U25" s="4"/>
    </row>
    <row r="26" spans="1:21" ht="15" thickBot="1" x14ac:dyDescent="0.35">
      <c r="A26" s="3" t="s">
        <v>5</v>
      </c>
      <c r="B26" s="5" cm="1">
        <f t="array" aca="1" ref="B26" ca="1">INDIRECT("'" &amp; $A26 &amp; "'!I3")</f>
        <v>1020.665</v>
      </c>
      <c r="C26" s="5" cm="1">
        <f t="array" aca="1" ref="C26" ca="1">INDIRECT("'" &amp; $A26 &amp; "'!J3")</f>
        <v>15.65</v>
      </c>
      <c r="D26" s="5" cm="1">
        <f t="array" aca="1" ref="D26" ca="1">INDIRECT("'" &amp; $A26 &amp; "'!K3")</f>
        <v>671.30500000000006</v>
      </c>
      <c r="E26" s="8" cm="1">
        <f t="array" aca="1" ref="E26" ca="1">INDIRECT("'" &amp; $A26 &amp; "'!L3")</f>
        <v>18.564999999999998</v>
      </c>
      <c r="F26" s="7"/>
      <c r="J26" s="4">
        <f t="shared" ca="1" si="6"/>
        <v>-7.3268000000001621</v>
      </c>
      <c r="K26" s="4">
        <f t="shared" ca="1" si="5"/>
        <v>1.6648999999999941</v>
      </c>
      <c r="L26" s="4">
        <f t="shared" ca="1" si="5"/>
        <v>95.182100000000105</v>
      </c>
      <c r="M26" s="4">
        <f t="shared" ca="1" si="5"/>
        <v>-0.34280000000000044</v>
      </c>
      <c r="N26" s="4"/>
    </row>
    <row r="27" spans="1:21" ht="15" thickBot="1" x14ac:dyDescent="0.35">
      <c r="A27" s="3" t="s">
        <v>6</v>
      </c>
      <c r="B27" s="5" cm="1">
        <f t="array" aca="1" ref="B27" ca="1">INDIRECT("'" &amp; $A27 &amp; "'!I3")</f>
        <v>1950.25</v>
      </c>
      <c r="C27" s="5" cm="1">
        <f t="array" aca="1" ref="C27" ca="1">INDIRECT("'" &amp; $A27 &amp; "'!J3")</f>
        <v>17.495000000000001</v>
      </c>
      <c r="D27" s="5" cm="1">
        <f t="array" aca="1" ref="D27" ca="1">INDIRECT("'" &amp; $A27 &amp; "'!K3")</f>
        <v>671.02</v>
      </c>
      <c r="E27" s="8" cm="1">
        <f t="array" aca="1" ref="E27" ca="1">INDIRECT("'" &amp; $A27 &amp; "'!L3")</f>
        <v>14.795</v>
      </c>
      <c r="F27" s="7"/>
      <c r="J27" s="4">
        <f t="shared" ca="1" si="6"/>
        <v>65.772399999999607</v>
      </c>
      <c r="K27" s="4">
        <f t="shared" ca="1" si="5"/>
        <v>2.3953999999999986</v>
      </c>
      <c r="L27" s="4">
        <f t="shared" ca="1" si="5"/>
        <v>327.02989999999988</v>
      </c>
      <c r="M27" s="4">
        <f t="shared" ca="1" si="5"/>
        <v>2.6383000000000099</v>
      </c>
      <c r="N27" s="4"/>
    </row>
    <row r="28" spans="1:21" ht="15" thickBot="1" x14ac:dyDescent="0.35">
      <c r="A28" s="3" t="s">
        <v>7</v>
      </c>
      <c r="B28" s="5" cm="1">
        <f t="array" aca="1" ref="B28" ca="1">INDIRECT("'" &amp; $A28 &amp; "'!I3")</f>
        <v>5077.7550000000001</v>
      </c>
      <c r="C28" s="5" cm="1">
        <f t="array" aca="1" ref="C28" ca="1">INDIRECT("'" &amp; $A28 &amp; "'!J3")</f>
        <v>41.454999999999998</v>
      </c>
      <c r="D28" s="5" cm="1">
        <f t="array" aca="1" ref="D28" ca="1">INDIRECT("'" &amp; $A28 &amp; "'!K3")</f>
        <v>3498.74</v>
      </c>
      <c r="E28" s="8" cm="1">
        <f t="array" aca="1" ref="E28" ca="1">INDIRECT("'" &amp; $A28 &amp; "'!L3")</f>
        <v>52.524999999999999</v>
      </c>
      <c r="F28" s="7"/>
      <c r="J28" s="4">
        <f t="shared" ca="1" si="6"/>
        <v>482.76250000000073</v>
      </c>
      <c r="K28" s="4">
        <f t="shared" ca="1" si="5"/>
        <v>-4.5999999999999375E-2</v>
      </c>
      <c r="L28" s="4">
        <f t="shared" ca="1" si="5"/>
        <v>278.00989999999956</v>
      </c>
      <c r="M28" s="4">
        <f t="shared" ca="1" si="5"/>
        <v>27.704200000000021</v>
      </c>
      <c r="N28" s="4"/>
    </row>
    <row r="29" spans="1:21" ht="15" thickBot="1" x14ac:dyDescent="0.35">
      <c r="A29" s="3" t="s">
        <v>8</v>
      </c>
      <c r="B29" s="5" cm="1">
        <f t="array" aca="1" ref="B29" ca="1">INDIRECT("'" &amp; $A29 &amp; "'!I3")</f>
        <v>6114.65</v>
      </c>
      <c r="C29" s="5" cm="1">
        <f t="array" aca="1" ref="C29" ca="1">INDIRECT("'" &amp; $A29 &amp; "'!J3")</f>
        <v>40.875</v>
      </c>
      <c r="D29" s="5" cm="1">
        <f t="array" aca="1" ref="D29" ca="1">INDIRECT("'" &amp; $A29 &amp; "'!K3")</f>
        <v>3565.25</v>
      </c>
      <c r="E29" s="8" cm="1">
        <f t="array" aca="1" ref="E29" ca="1">INDIRECT("'" &amp; $A29 &amp; "'!L3")</f>
        <v>50.57</v>
      </c>
      <c r="F29" s="7"/>
      <c r="J29" s="4">
        <f t="shared" ca="1" si="6"/>
        <v>-211.85659999999916</v>
      </c>
      <c r="K29" s="4">
        <f t="shared" ca="1" si="5"/>
        <v>1.3356999999999672</v>
      </c>
      <c r="L29" s="4">
        <f t="shared" ca="1" si="5"/>
        <v>323.86340000000064</v>
      </c>
      <c r="M29" s="4">
        <f t="shared" ca="1" si="5"/>
        <v>18.343200000000003</v>
      </c>
      <c r="N29" s="4"/>
    </row>
    <row r="30" spans="1:21" ht="15" thickBot="1" x14ac:dyDescent="0.35">
      <c r="A30" s="3" t="s">
        <v>9</v>
      </c>
      <c r="B30" s="5" cm="1">
        <f t="array" aca="1" ref="B30" ca="1">INDIRECT("'" &amp; $A30 &amp; "'!I3")</f>
        <v>5255.5450000000001</v>
      </c>
      <c r="C30" s="5" cm="1">
        <f t="array" aca="1" ref="C30" ca="1">INDIRECT("'" &amp; $A30 &amp; "'!J3")</f>
        <v>43.204999999999998</v>
      </c>
      <c r="D30" s="5" cm="1">
        <f t="array" aca="1" ref="D30" ca="1">INDIRECT("'" &amp; $A30 &amp; "'!K3")</f>
        <v>3590.7649999999999</v>
      </c>
      <c r="E30" s="8" cm="1">
        <f t="array" aca="1" ref="E30" ca="1">INDIRECT("'" &amp; $A30 &amp; "'!L3")</f>
        <v>53.114999999999995</v>
      </c>
      <c r="F30" s="7"/>
      <c r="J30" s="4">
        <f t="shared" ca="1" si="6"/>
        <v>422.43800000000192</v>
      </c>
      <c r="K30" s="4">
        <f t="shared" ca="1" si="5"/>
        <v>1.7083000000000226</v>
      </c>
      <c r="L30" s="4">
        <f t="shared" ca="1" si="5"/>
        <v>340.90390000000025</v>
      </c>
      <c r="M30" s="4">
        <f t="shared" ca="1" si="5"/>
        <v>20.35599999999998</v>
      </c>
      <c r="N30" s="4"/>
    </row>
    <row r="31" spans="1:21" ht="15" thickBot="1" x14ac:dyDescent="0.35">
      <c r="A31" s="3" t="s">
        <v>10</v>
      </c>
      <c r="B31" s="5" cm="1">
        <f t="array" aca="1" ref="B31" ca="1">INDIRECT("'" &amp; $A31 &amp; "'!I3")</f>
        <v>5968.57</v>
      </c>
      <c r="C31" s="5" cm="1">
        <f t="array" aca="1" ref="C31" ca="1">INDIRECT("'" &amp; $A31 &amp; "'!J3")</f>
        <v>41.620000000000005</v>
      </c>
      <c r="D31" s="5" cm="1">
        <f t="array" aca="1" ref="D31" ca="1">INDIRECT("'" &amp; $A31 &amp; "'!K3")</f>
        <v>3567.26</v>
      </c>
      <c r="E31" s="8" cm="1">
        <f t="array" aca="1" ref="E31" ca="1">INDIRECT("'" &amp; $A31 &amp; "'!L3")</f>
        <v>54.424999999999997</v>
      </c>
      <c r="F31" s="7"/>
      <c r="J31" s="4">
        <f t="shared" ca="1" si="6"/>
        <v>-111.51470000000063</v>
      </c>
      <c r="K31" s="4">
        <f t="shared" ca="1" si="5"/>
        <v>1.469699999999996</v>
      </c>
      <c r="L31" s="4">
        <f t="shared" ca="1" si="5"/>
        <v>523.04619999999841</v>
      </c>
      <c r="M31" s="4">
        <f t="shared" ca="1" si="5"/>
        <v>15.275999999999982</v>
      </c>
      <c r="N31" s="4"/>
    </row>
    <row r="32" spans="1:21" ht="15" thickBot="1" x14ac:dyDescent="0.35">
      <c r="A32" s="3" t="s">
        <v>11</v>
      </c>
      <c r="B32" s="5" cm="1">
        <f t="array" aca="1" ref="B32" ca="1">INDIRECT("'" &amp; $A32 &amp; "'!I3")</f>
        <v>234.99</v>
      </c>
      <c r="C32" s="5" cm="1">
        <f t="array" aca="1" ref="C32" ca="1">INDIRECT("'" &amp; $A32 &amp; "'!J3")</f>
        <v>238.31</v>
      </c>
      <c r="D32" s="5" cm="1">
        <f t="array" aca="1" ref="D32" ca="1">INDIRECT("'" &amp; $A32 &amp; "'!K3")</f>
        <v>210.96</v>
      </c>
      <c r="E32" s="8" cm="1">
        <f t="array" aca="1" ref="E32" ca="1">INDIRECT("'" &amp; $A32 &amp; "'!L3")</f>
        <v>62.37</v>
      </c>
      <c r="F32" s="7"/>
      <c r="J32" s="4">
        <f t="shared" ca="1" si="6"/>
        <v>168.8087000000001</v>
      </c>
      <c r="K32" s="4">
        <f t="shared" ca="1" si="5"/>
        <v>139.83279999999996</v>
      </c>
      <c r="L32" s="4">
        <f t="shared" ca="1" si="5"/>
        <v>21.64730000000003</v>
      </c>
      <c r="M32" s="4">
        <f t="shared" ca="1" si="5"/>
        <v>0.89050000000000296</v>
      </c>
      <c r="N32" s="4"/>
    </row>
    <row r="33" spans="1:14" ht="15" thickBot="1" x14ac:dyDescent="0.35">
      <c r="A33" s="3" t="s">
        <v>12</v>
      </c>
      <c r="B33" s="5" cm="1">
        <f t="array" aca="1" ref="B33" ca="1">INDIRECT("'" &amp; $A33 &amp; "'!I3")</f>
        <v>357.47500000000002</v>
      </c>
      <c r="C33" s="5" cm="1">
        <f t="array" aca="1" ref="C33" ca="1">INDIRECT("'" &amp; $A33 &amp; "'!J3")</f>
        <v>88.704999999999998</v>
      </c>
      <c r="D33" s="5" cm="1">
        <f t="array" aca="1" ref="D33" ca="1">INDIRECT("'" &amp; $A33 &amp; "'!K3")</f>
        <v>336.83000000000004</v>
      </c>
      <c r="E33" s="8" cm="1">
        <f t="array" aca="1" ref="E33" ca="1">INDIRECT("'" &amp; $A33 &amp; "'!L3")</f>
        <v>25.805</v>
      </c>
      <c r="F33" s="7"/>
      <c r="J33" s="4">
        <f t="shared" ca="1" si="6"/>
        <v>858.68789999999956</v>
      </c>
      <c r="K33" s="4">
        <f t="shared" ca="1" si="5"/>
        <v>16.004000000000019</v>
      </c>
      <c r="L33" s="4">
        <f t="shared" ca="1" si="5"/>
        <v>12.036499999999819</v>
      </c>
      <c r="M33" s="4">
        <f t="shared" ca="1" si="5"/>
        <v>0.18129999999999313</v>
      </c>
      <c r="N33" s="4"/>
    </row>
    <row r="34" spans="1:14" ht="15" thickBot="1" x14ac:dyDescent="0.35">
      <c r="A34" s="3" t="s">
        <v>13</v>
      </c>
      <c r="B34" s="5" cm="1">
        <f t="array" aca="1" ref="B34" ca="1">INDIRECT("'" &amp; $A34 &amp; "'!I3")</f>
        <v>101.75999999999999</v>
      </c>
      <c r="C34" s="5" cm="1">
        <f t="array" aca="1" ref="C34" ca="1">INDIRECT("'" &amp; $A34 &amp; "'!J3")</f>
        <v>57.344999999999999</v>
      </c>
      <c r="D34" s="5" cm="1">
        <f t="array" aca="1" ref="D34" ca="1">INDIRECT("'" &amp; $A34 &amp; "'!K3")</f>
        <v>82.405000000000001</v>
      </c>
      <c r="E34" s="8" cm="1">
        <f t="array" aca="1" ref="E34" ca="1">INDIRECT("'" &amp; $A34 &amp; "'!L3")</f>
        <v>8.1950000000000003</v>
      </c>
      <c r="F34" s="7"/>
      <c r="J34" s="4">
        <f t="shared" ca="1" si="6"/>
        <v>405.81410000000011</v>
      </c>
      <c r="K34" s="4">
        <f t="shared" ca="1" si="5"/>
        <v>110.56589999999994</v>
      </c>
      <c r="L34" s="4">
        <f t="shared" ca="1" si="5"/>
        <v>559.94479999999987</v>
      </c>
      <c r="M34" s="4">
        <f t="shared" ca="1" si="5"/>
        <v>22.716299999999993</v>
      </c>
      <c r="N34" s="4"/>
    </row>
    <row r="35" spans="1:14" ht="15" thickBot="1" x14ac:dyDescent="0.35">
      <c r="A35" s="3" t="s">
        <v>14</v>
      </c>
      <c r="B35" s="5" cm="1">
        <f t="array" aca="1" ref="B35" ca="1">INDIRECT("'" &amp; $A35 &amp; "'!I3")</f>
        <v>347.58</v>
      </c>
      <c r="C35" s="5" cm="1">
        <f t="array" aca="1" ref="C35" ca="1">INDIRECT("'" &amp; $A35 &amp; "'!J3")</f>
        <v>3.13</v>
      </c>
      <c r="D35" s="5" cm="1">
        <f t="array" aca="1" ref="D35" ca="1">INDIRECT("'" &amp; $A35 &amp; "'!K3")</f>
        <v>401.57499999999999</v>
      </c>
      <c r="E35" s="8" cm="1">
        <f t="array" aca="1" ref="E35" ca="1">INDIRECT("'" &amp; $A35 &amp; "'!L3")</f>
        <v>7.9949999999999992</v>
      </c>
      <c r="F35" s="7"/>
      <c r="J35" s="4">
        <f t="shared" ca="1" si="6"/>
        <v>10.723400000000026</v>
      </c>
      <c r="K35" s="4">
        <f t="shared" ca="1" si="5"/>
        <v>2.6867999999999999</v>
      </c>
      <c r="L35" s="4">
        <f t="shared" ca="1" si="5"/>
        <v>28.226500000000044</v>
      </c>
      <c r="M35" s="4">
        <f t="shared" ca="1" si="5"/>
        <v>11.507699999999987</v>
      </c>
      <c r="N35" s="4"/>
    </row>
    <row r="36" spans="1:14" ht="15" thickBot="1" x14ac:dyDescent="0.35">
      <c r="A36" s="3" t="s">
        <v>15</v>
      </c>
      <c r="B36" s="5" cm="1">
        <f t="array" aca="1" ref="B36" ca="1">INDIRECT("'" &amp; $A36 &amp; "'!I3")</f>
        <v>166.155</v>
      </c>
      <c r="C36" s="5" cm="1">
        <f t="array" aca="1" ref="C36" ca="1">INDIRECT("'" &amp; $A36 &amp; "'!J3")</f>
        <v>87.115000000000009</v>
      </c>
      <c r="D36" s="5" cm="1">
        <f t="array" aca="1" ref="D36" ca="1">INDIRECT("'" &amp; $A36 &amp; "'!K3")</f>
        <v>474.70000000000005</v>
      </c>
      <c r="E36" s="8" cm="1">
        <f t="array" aca="1" ref="E36" ca="1">INDIRECT("'" &amp; $A36 &amp; "'!L3")</f>
        <v>92.57</v>
      </c>
      <c r="F36" s="7"/>
      <c r="J36" s="4">
        <f t="shared" ca="1" si="6"/>
        <v>334.58150000000012</v>
      </c>
      <c r="K36" s="4">
        <f t="shared" ca="1" si="5"/>
        <v>22.882899999999921</v>
      </c>
      <c r="L36" s="4">
        <f t="shared" ca="1" si="5"/>
        <v>1120.7133000000001</v>
      </c>
      <c r="M36" s="4">
        <f t="shared" ca="1" si="5"/>
        <v>6.921100000000024</v>
      </c>
      <c r="N36" s="4"/>
    </row>
    <row r="37" spans="1:14" ht="15" thickBot="1" x14ac:dyDescent="0.35">
      <c r="A37" s="3" t="s">
        <v>16</v>
      </c>
      <c r="B37" s="5" cm="1">
        <f t="array" aca="1" ref="B37" ca="1">INDIRECT("'" &amp; $A37 &amp; "'!I3")</f>
        <v>70.28</v>
      </c>
      <c r="C37" s="5" cm="1">
        <f t="array" aca="1" ref="C37" ca="1">INDIRECT("'" &amp; $A37 &amp; "'!J3")</f>
        <v>3.1100000000000003</v>
      </c>
      <c r="D37" s="5" cm="1">
        <f t="array" aca="1" ref="D37" ca="1">INDIRECT("'" &amp; $A37 &amp; "'!K3")</f>
        <v>114.36499999999999</v>
      </c>
      <c r="E37" s="8" cm="1">
        <f t="array" aca="1" ref="E37" ca="1">INDIRECT("'" &amp; $A37 &amp; "'!L3")</f>
        <v>8.0150000000000006</v>
      </c>
      <c r="F37" s="7"/>
      <c r="J37" s="4">
        <f t="shared" ca="1" si="6"/>
        <v>5.9445999999999941</v>
      </c>
      <c r="K37" s="4">
        <f t="shared" ca="1" si="5"/>
        <v>0.12170000000000103</v>
      </c>
      <c r="L37" s="4">
        <f t="shared" ca="1" si="5"/>
        <v>5.5774000000000257</v>
      </c>
      <c r="M37" s="4">
        <f t="shared" ca="1" si="5"/>
        <v>0.39809999999999945</v>
      </c>
      <c r="N37" s="4"/>
    </row>
    <row r="39" spans="1:14" ht="15" thickBot="1" x14ac:dyDescent="0.35">
      <c r="A39" s="11" t="s">
        <v>18</v>
      </c>
      <c r="B39" s="11"/>
      <c r="C39" s="11"/>
      <c r="D39" s="11"/>
      <c r="E39" s="11"/>
      <c r="F39" s="9"/>
    </row>
    <row r="40" spans="1:14" ht="15" thickBot="1" x14ac:dyDescent="0.35">
      <c r="A40" s="1" t="s">
        <v>0</v>
      </c>
      <c r="B40" s="2" t="s">
        <v>26</v>
      </c>
      <c r="C40" s="2" t="s">
        <v>27</v>
      </c>
      <c r="D40" s="2" t="s">
        <v>28</v>
      </c>
      <c r="E40" s="1" t="s">
        <v>29</v>
      </c>
      <c r="F40" s="6"/>
      <c r="H40" s="1" t="s">
        <v>22</v>
      </c>
      <c r="I40" s="2" t="s">
        <v>26</v>
      </c>
      <c r="J40" s="2" t="s">
        <v>27</v>
      </c>
      <c r="K40" s="2" t="s">
        <v>28</v>
      </c>
      <c r="L40" s="1" t="s">
        <v>29</v>
      </c>
      <c r="M40" s="6"/>
    </row>
    <row r="41" spans="1:14" ht="15" thickBot="1" x14ac:dyDescent="0.35">
      <c r="A41" s="3" t="s">
        <v>1</v>
      </c>
      <c r="B41" s="5" cm="1">
        <f t="array" aca="1" ref="B41" ca="1">INDIRECT("'" &amp; $A41 &amp; "'!I4")</f>
        <v>170.54169233889965</v>
      </c>
      <c r="C41" s="5" cm="1">
        <f t="array" aca="1" ref="C41" ca="1">INDIRECT("'" &amp; $A41 &amp; "'!J4")</f>
        <v>8.3151268386859147</v>
      </c>
      <c r="D41" s="5" cm="1">
        <f t="array" aca="1" ref="D41" ca="1">INDIRECT("'" &amp; $A41 &amp; "'!K4")</f>
        <v>168.47811767920933</v>
      </c>
      <c r="E41" s="8" cm="1">
        <f t="array" aca="1" ref="E41" ca="1">INDIRECT("'" &amp; $A41 &amp; "'!L4")</f>
        <v>0.14541143300471679</v>
      </c>
      <c r="F41" s="7"/>
      <c r="H41" t="s">
        <v>23</v>
      </c>
      <c r="I41" s="4">
        <f ca="1">AVERAGE(B41:B50)</f>
        <v>1234.3927475465196</v>
      </c>
      <c r="J41" s="4">
        <f t="shared" ref="J41" ca="1" si="10">AVERAGE(C41:C50)</f>
        <v>11.332063636619962</v>
      </c>
      <c r="K41" s="4">
        <f t="shared" ref="K41" ca="1" si="11">AVERAGE(D41:D50)</f>
        <v>870.87042852765421</v>
      </c>
      <c r="L41" s="4">
        <f t="shared" ref="L41" ca="1" si="12">AVERAGE(E41:E50)</f>
        <v>36.575466610165414</v>
      </c>
      <c r="M41" s="4"/>
    </row>
    <row r="42" spans="1:14" ht="15" thickBot="1" x14ac:dyDescent="0.35">
      <c r="A42" s="3" t="s">
        <v>2</v>
      </c>
      <c r="B42" s="5" cm="1">
        <f t="array" aca="1" ref="B42" ca="1">INDIRECT("'" &amp; $A42 &amp; "'!I4")</f>
        <v>167.70673997177585</v>
      </c>
      <c r="C42" s="5" cm="1">
        <f t="array" aca="1" ref="C42" ca="1">INDIRECT("'" &amp; $A42 &amp; "'!J4")</f>
        <v>5.2894010888557039</v>
      </c>
      <c r="D42" s="5" cm="1">
        <f t="array" aca="1" ref="D42" ca="1">INDIRECT("'" &amp; $A42 &amp; "'!K4")</f>
        <v>130.74933564541416</v>
      </c>
      <c r="E42" s="8" cm="1">
        <f t="array" aca="1" ref="E42" ca="1">INDIRECT("'" &amp; $A42 &amp; "'!L4")</f>
        <v>1.7171516790571781</v>
      </c>
      <c r="F42" s="7"/>
      <c r="H42" t="s">
        <v>24</v>
      </c>
      <c r="I42" s="4">
        <f ca="1">AVERAGE(B51:B53)</f>
        <v>1672.2740635403372</v>
      </c>
      <c r="J42" s="4">
        <f t="shared" ref="J42" ca="1" si="13">AVERAGE(C51:C53)</f>
        <v>400.7681995856131</v>
      </c>
      <c r="K42" s="4">
        <f t="shared" ref="K42" ca="1" si="14">AVERAGE(D51:D53)</f>
        <v>752.39029739990121</v>
      </c>
      <c r="L42" s="4">
        <f t="shared" ref="L42" ca="1" si="15">AVERAGE(E51:E53)</f>
        <v>33.970839143206007</v>
      </c>
      <c r="M42" s="4"/>
    </row>
    <row r="43" spans="1:14" ht="15" thickBot="1" x14ac:dyDescent="0.35">
      <c r="A43" s="3" t="s">
        <v>3</v>
      </c>
      <c r="B43" s="5" cm="1">
        <f t="array" aca="1" ref="B43" ca="1">INDIRECT("'" &amp; $A43 &amp; "'!I4")</f>
        <v>190.8259381247012</v>
      </c>
      <c r="C43" s="5" cm="1">
        <f t="array" aca="1" ref="C43" ca="1">INDIRECT("'" &amp; $A43 &amp; "'!J4")</f>
        <v>6.2904438313968791</v>
      </c>
      <c r="D43" s="5" cm="1">
        <f t="array" aca="1" ref="D43" ca="1">INDIRECT("'" &amp; $A43 &amp; "'!K4")</f>
        <v>174.26485763488307</v>
      </c>
      <c r="E43" s="8" cm="1">
        <f t="array" aca="1" ref="E43" ca="1">INDIRECT("'" &amp; $A43 &amp; "'!L4")</f>
        <v>9.1410120889374848</v>
      </c>
      <c r="F43" s="7"/>
      <c r="H43" t="s">
        <v>25</v>
      </c>
      <c r="I43" s="4">
        <f ca="1">AVERAGE(B54:B56)</f>
        <v>260.24013272389999</v>
      </c>
      <c r="J43" s="4">
        <f t="shared" ref="J43" ca="1" si="16">AVERAGE(C54:C56)</f>
        <v>41.759610151975444</v>
      </c>
      <c r="K43" s="4">
        <f t="shared" ref="K43" ca="1" si="17">AVERAGE(D54:D56)</f>
        <v>1181.9891927005242</v>
      </c>
      <c r="L43" s="4">
        <f ca="1">AVERAGE(E54:E56)</f>
        <v>25.813853194097391</v>
      </c>
      <c r="M43" s="4"/>
    </row>
    <row r="44" spans="1:14" ht="15" thickBot="1" x14ac:dyDescent="0.35">
      <c r="A44" s="3" t="s">
        <v>4</v>
      </c>
      <c r="B44" s="5" cm="1">
        <f t="array" aca="1" ref="B44" ca="1">INDIRECT("'" &amp; $A44 &amp; "'!I4")</f>
        <v>1484.8982862288465</v>
      </c>
      <c r="C44" s="5" cm="1">
        <f t="array" aca="1" ref="C44" ca="1">INDIRECT("'" &amp; $A44 &amp; "'!J4")</f>
        <v>18.985501299303607</v>
      </c>
      <c r="D44" s="5" cm="1">
        <f t="array" aca="1" ref="D44" ca="1">INDIRECT("'" &amp; $A44 &amp; "'!K4")</f>
        <v>932.07113033904227</v>
      </c>
      <c r="E44" s="8" cm="1">
        <f t="array" aca="1" ref="E44" ca="1">INDIRECT("'" &amp; $A44 &amp; "'!L4")</f>
        <v>0.43922567311029515</v>
      </c>
      <c r="F44" s="7"/>
    </row>
    <row r="45" spans="1:14" ht="15" thickBot="1" x14ac:dyDescent="0.35">
      <c r="A45" s="3" t="s">
        <v>5</v>
      </c>
      <c r="B45" s="5" cm="1">
        <f t="array" aca="1" ref="B45" ca="1">INDIRECT("'" &amp; $A45 &amp; "'!I4")</f>
        <v>101.90310097659672</v>
      </c>
      <c r="C45" s="5" cm="1">
        <f t="array" aca="1" ref="C45" ca="1">INDIRECT("'" &amp; $A45 &amp; "'!J4")</f>
        <v>7.8913762539761416</v>
      </c>
      <c r="D45" s="5" cm="1">
        <f t="array" aca="1" ref="D45" ca="1">INDIRECT("'" &amp; $A45 &amp; "'!K4")</f>
        <v>335.0771574534146</v>
      </c>
      <c r="E45" s="8" cm="1">
        <f t="array" aca="1" ref="E45" ca="1">INDIRECT("'" &amp; $A45 &amp; "'!L4")</f>
        <v>3.2250053887669425</v>
      </c>
      <c r="F45" s="7"/>
    </row>
    <row r="46" spans="1:14" ht="15" thickBot="1" x14ac:dyDescent="0.35">
      <c r="A46" s="3" t="s">
        <v>6</v>
      </c>
      <c r="B46" s="5" cm="1">
        <f t="array" aca="1" ref="B46" ca="1">INDIRECT("'" &amp; $A46 &amp; "'!I4")</f>
        <v>340.31944939810552</v>
      </c>
      <c r="C46" s="5" cm="1">
        <f t="array" aca="1" ref="C46" ca="1">INDIRECT("'" &amp; $A46 &amp; "'!J4")</f>
        <v>9.3778040030271512</v>
      </c>
      <c r="D46" s="5" cm="1">
        <f t="array" aca="1" ref="D46" ca="1">INDIRECT("'" &amp; $A46 &amp; "'!K4")</f>
        <v>647.59255818855911</v>
      </c>
      <c r="E46" s="8" cm="1">
        <f t="array" aca="1" ref="E46" ca="1">INDIRECT("'" &amp; $A46 &amp; "'!L4")</f>
        <v>7.7162813641616674</v>
      </c>
      <c r="F46" s="7"/>
    </row>
    <row r="47" spans="1:14" ht="15" thickBot="1" x14ac:dyDescent="0.35">
      <c r="A47" s="3" t="s">
        <v>7</v>
      </c>
      <c r="B47" s="5" cm="1">
        <f t="array" aca="1" ref="B47" ca="1">INDIRECT("'" &amp; $A47 &amp; "'!I4")</f>
        <v>3006.8091444886472</v>
      </c>
      <c r="C47" s="5" cm="1">
        <f t="array" aca="1" ref="C47" ca="1">INDIRECT("'" &amp; $A47 &amp; "'!J4")</f>
        <v>12.883595512640669</v>
      </c>
      <c r="D47" s="5" cm="1">
        <f t="array" aca="1" ref="D47" ca="1">INDIRECT("'" &amp; $A47 &amp; "'!K4")</f>
        <v>1367.0192831951063</v>
      </c>
      <c r="E47" s="8" cm="1">
        <f t="array" aca="1" ref="E47" ca="1">INDIRECT("'" &amp; $A47 &amp; "'!L4")</f>
        <v>127.62641423888215</v>
      </c>
      <c r="F47" s="7"/>
    </row>
    <row r="48" spans="1:14" ht="15" thickBot="1" x14ac:dyDescent="0.35">
      <c r="A48" s="3" t="s">
        <v>8</v>
      </c>
      <c r="B48" s="5" cm="1">
        <f t="array" aca="1" ref="B48" ca="1">INDIRECT("'" &amp; $A48 &amp; "'!I4")</f>
        <v>3018.5442855915167</v>
      </c>
      <c r="C48" s="5" cm="1">
        <f t="array" aca="1" ref="C48" ca="1">INDIRECT("'" &amp; $A48 &amp; "'!J4")</f>
        <v>16.726350846385071</v>
      </c>
      <c r="D48" s="5" cm="1">
        <f t="array" aca="1" ref="D48" ca="1">INDIRECT("'" &amp; $A48 &amp; "'!K4")</f>
        <v>1734.7110907584693</v>
      </c>
      <c r="E48" s="8" cm="1">
        <f t="array" aca="1" ref="E48" ca="1">INDIRECT("'" &amp; $A48 &amp; "'!L4")</f>
        <v>80.935129228240086</v>
      </c>
      <c r="F48" s="7"/>
    </row>
    <row r="49" spans="1:9" ht="15" thickBot="1" x14ac:dyDescent="0.35">
      <c r="A49" s="3" t="s">
        <v>9</v>
      </c>
      <c r="B49" s="5" cm="1">
        <f t="array" aca="1" ref="B49" ca="1">INDIRECT("'" &amp; $A49 &amp; "'!I4")</f>
        <v>1939.3880903055938</v>
      </c>
      <c r="C49" s="5" cm="1">
        <f t="array" aca="1" ref="C49" ca="1">INDIRECT("'" &amp; $A49 &amp; "'!J4")</f>
        <v>13.726963075007685</v>
      </c>
      <c r="D49" s="5" cm="1">
        <f t="array" aca="1" ref="D49" ca="1">INDIRECT("'" &amp; $A49 &amp; "'!K4")</f>
        <v>1423.7431994803185</v>
      </c>
      <c r="E49" s="8" cm="1">
        <f t="array" aca="1" ref="E49" ca="1">INDIRECT("'" &amp; $A49 &amp; "'!L4")</f>
        <v>85.304200726670913</v>
      </c>
      <c r="F49" s="7"/>
    </row>
    <row r="50" spans="1:9" ht="15" thickBot="1" x14ac:dyDescent="0.35">
      <c r="A50" s="3" t="s">
        <v>10</v>
      </c>
      <c r="B50" s="5" cm="1">
        <f t="array" aca="1" ref="B50" ca="1">INDIRECT("'" &amp; $A50 &amp; "'!I4")</f>
        <v>1922.990748040512</v>
      </c>
      <c r="C50" s="5" cm="1">
        <f t="array" aca="1" ref="C50" ca="1">INDIRECT("'" &amp; $A50 &amp; "'!J4")</f>
        <v>13.834073616920787</v>
      </c>
      <c r="D50" s="5" cm="1">
        <f t="array" aca="1" ref="D50" ca="1">INDIRECT("'" &amp; $A50 &amp; "'!K4")</f>
        <v>1794.9975549021271</v>
      </c>
      <c r="E50" s="8" cm="1">
        <f t="array" aca="1" ref="E50" ca="1">INDIRECT("'" &amp; $A50 &amp; "'!L4")</f>
        <v>49.50483428082272</v>
      </c>
      <c r="F50" s="7"/>
      <c r="I50" s="4">
        <f ca="1">MIN(B41:E56)</f>
        <v>0.14541143300471679</v>
      </c>
    </row>
    <row r="51" spans="1:9" ht="15" thickBot="1" x14ac:dyDescent="0.35">
      <c r="A51" s="3" t="s">
        <v>11</v>
      </c>
      <c r="B51" s="5" cm="1">
        <f t="array" aca="1" ref="B51" ca="1">INDIRECT("'" &amp; $A51 &amp; "'!I4")</f>
        <v>783.38905362063645</v>
      </c>
      <c r="C51" s="5" cm="1">
        <f t="array" aca="1" ref="C51" ca="1">INDIRECT("'" &amp; $A51 &amp; "'!J4")</f>
        <v>251.97284725080371</v>
      </c>
      <c r="D51" s="5" cm="1">
        <f t="array" aca="1" ref="D51" ca="1">INDIRECT("'" &amp; $A51 &amp; "'!K4")</f>
        <v>40.507569210499589</v>
      </c>
      <c r="E51" s="8" cm="1">
        <f t="array" aca="1" ref="E51" ca="1">INDIRECT("'" &amp; $A51 &amp; "'!L4")</f>
        <v>3.5080623950660801</v>
      </c>
      <c r="F51" s="7"/>
      <c r="I51" s="4">
        <f ca="1">MAX(B41:E56)</f>
        <v>3365.5997069632658</v>
      </c>
    </row>
    <row r="52" spans="1:9" ht="15" thickBot="1" x14ac:dyDescent="0.35">
      <c r="A52" s="3" t="s">
        <v>12</v>
      </c>
      <c r="B52" s="5" cm="1">
        <f t="array" aca="1" ref="B52" ca="1">INDIRECT("'" &amp; $A52 &amp; "'!I4")</f>
        <v>2478.2382438423911</v>
      </c>
      <c r="C52" s="5" cm="1">
        <f t="array" aca="1" ref="C52" ca="1">INDIRECT("'" &amp; $A52 &amp; "'!J4")</f>
        <v>43.950872884081846</v>
      </c>
      <c r="D52" s="5" cm="1">
        <f t="array" aca="1" ref="D52" ca="1">INDIRECT("'" &amp; $A52 &amp; "'!K4")</f>
        <v>31.507042322456915</v>
      </c>
      <c r="E52" s="8" cm="1">
        <f t="array" aca="1" ref="E52" ca="1">INDIRECT("'" &amp; $A52 &amp; "'!L4")</f>
        <v>1.4162788453114619</v>
      </c>
      <c r="F52" s="7"/>
      <c r="I52" s="4"/>
    </row>
    <row r="53" spans="1:9" ht="15" thickBot="1" x14ac:dyDescent="0.35">
      <c r="A53" s="3" t="s">
        <v>13</v>
      </c>
      <c r="B53" s="5" cm="1">
        <f t="array" aca="1" ref="B53" ca="1">INDIRECT("'" &amp; $A53 &amp; "'!I4")</f>
        <v>1755.1948931579848</v>
      </c>
      <c r="C53" s="5" cm="1">
        <f t="array" aca="1" ref="C53" ca="1">INDIRECT("'" &amp; $A53 &amp; "'!J4")</f>
        <v>906.38087862195391</v>
      </c>
      <c r="D53" s="5" cm="1">
        <f t="array" aca="1" ref="D53" ca="1">INDIRECT("'" &amp; $A53 &amp; "'!K4")</f>
        <v>2185.1562806667471</v>
      </c>
      <c r="E53" s="8" cm="1">
        <f t="array" aca="1" ref="E53" ca="1">INDIRECT("'" &amp; $A53 &amp; "'!L4")</f>
        <v>96.988176189240477</v>
      </c>
      <c r="F53" s="7"/>
    </row>
    <row r="54" spans="1:9" ht="15" thickBot="1" x14ac:dyDescent="0.35">
      <c r="A54" s="3" t="s">
        <v>14</v>
      </c>
      <c r="B54" s="5" cm="1">
        <f t="array" aca="1" ref="B54" ca="1">INDIRECT("'" &amp; $A54 &amp; "'!I4")</f>
        <v>104.54502340922944</v>
      </c>
      <c r="C54" s="5" cm="1">
        <f t="array" aca="1" ref="C54" ca="1">INDIRECT("'" &amp; $A54 &amp; "'!J4")</f>
        <v>9.4288944348012649</v>
      </c>
      <c r="D54" s="5" cm="1">
        <f t="array" aca="1" ref="D54" ca="1">INDIRECT("'" &amp; $A54 &amp; "'!K4")</f>
        <v>159.19725079078299</v>
      </c>
      <c r="E54" s="8" cm="1">
        <f t="array" aca="1" ref="E54" ca="1">INDIRECT("'" &amp; $A54 &amp; "'!L4")</f>
        <v>29.530414482445902</v>
      </c>
      <c r="F54" s="7"/>
    </row>
    <row r="55" spans="1:9" ht="15" thickBot="1" x14ac:dyDescent="0.35">
      <c r="A55" s="3" t="s">
        <v>15</v>
      </c>
      <c r="B55" s="5" cm="1">
        <f t="array" aca="1" ref="B55" ca="1">INDIRECT("'" &amp; $A55 &amp; "'!I4")</f>
        <v>657.2124490825172</v>
      </c>
      <c r="C55" s="5" cm="1">
        <f t="array" aca="1" ref="C55" ca="1">INDIRECT("'" &amp; $A55 &amp; "'!J4")</f>
        <v>114.61872732289967</v>
      </c>
      <c r="D55" s="5" cm="1">
        <f t="array" aca="1" ref="D55" ca="1">INDIRECT("'" &amp; $A55 &amp; "'!K4")</f>
        <v>3365.5997069632658</v>
      </c>
      <c r="E55" s="8" cm="1">
        <f t="array" aca="1" ref="E55" ca="1">INDIRECT("'" &amp; $A55 &amp; "'!L4")</f>
        <v>46.032569078311113</v>
      </c>
      <c r="F55" s="7"/>
    </row>
    <row r="56" spans="1:9" ht="15" thickBot="1" x14ac:dyDescent="0.35">
      <c r="A56" s="3" t="s">
        <v>16</v>
      </c>
      <c r="B56" s="5" cm="1">
        <f t="array" aca="1" ref="B56" ca="1">INDIRECT("'" &amp; $A56 &amp; "'!I4")</f>
        <v>18.962925679953344</v>
      </c>
      <c r="C56" s="5" cm="1">
        <f t="array" aca="1" ref="C56" ca="1">INDIRECT("'" &amp; $A56 &amp; "'!J4")</f>
        <v>1.2312086982253871</v>
      </c>
      <c r="D56" s="5" cm="1">
        <f t="array" aca="1" ref="D56" ca="1">INDIRECT("'" &amp; $A56 &amp; "'!K4")</f>
        <v>21.170620347523595</v>
      </c>
      <c r="E56" s="8" cm="1">
        <f t="array" aca="1" ref="E56" ca="1">INDIRECT("'" &amp; $A56 &amp; "'!L4")</f>
        <v>1.8785760215351526</v>
      </c>
      <c r="F56" s="7"/>
    </row>
  </sheetData>
  <mergeCells count="3">
    <mergeCell ref="A39:E39"/>
    <mergeCell ref="A20:E20"/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infinityfree</vt:lpstr>
      <vt:lpstr>aeonfree</vt:lpstr>
      <vt:lpstr>tinkerhost</vt:lpstr>
      <vt:lpstr>x10hosting</vt:lpstr>
      <vt:lpstr>googiehost</vt:lpstr>
      <vt:lpstr>freehosting.it</vt:lpstr>
      <vt:lpstr>atspace</vt:lpstr>
      <vt:lpstr>awardspace</vt:lpstr>
      <vt:lpstr>freehostingeu</vt:lpstr>
      <vt:lpstr>freehostingnoads</vt:lpstr>
      <vt:lpstr>hidencloud</vt:lpstr>
      <vt:lpstr>replit</vt:lpstr>
      <vt:lpstr>vercel</vt:lpstr>
      <vt:lpstr>render</vt:lpstr>
      <vt:lpstr>alwaysdata</vt:lpstr>
      <vt:lpstr>leapcell</vt:lpstr>
      <vt:lpstr>zbiorcza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Rafcio</dc:creator>
  <cp:lastModifiedBy>Rafał Wronowski</cp:lastModifiedBy>
  <dcterms:created xsi:type="dcterms:W3CDTF">2015-06-05T18:17:20Z</dcterms:created>
  <dcterms:modified xsi:type="dcterms:W3CDTF">2026-06-04T00:29:41Z</dcterms:modified>
</cp:coreProperties>
</file>