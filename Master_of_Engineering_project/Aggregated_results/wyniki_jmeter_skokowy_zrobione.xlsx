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Prace_dyplomowe_studia\Praca_Magisterska\Wyniki\"/>
    </mc:Choice>
  </mc:AlternateContent>
  <xr:revisionPtr revIDLastSave="0" documentId="13_ncr:1_{603003FF-430D-4782-8E5D-13A4AFD28FBF}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infinityfree" sheetId="1" r:id="rId1"/>
    <sheet name="aeonfree" sheetId="2" r:id="rId2"/>
    <sheet name="tinkerhost" sheetId="3" r:id="rId3"/>
    <sheet name="x10hosting" sheetId="4" r:id="rId4"/>
    <sheet name="googiehost" sheetId="5" r:id="rId5"/>
    <sheet name="freehosting.it" sheetId="6" r:id="rId6"/>
    <sheet name="atspace" sheetId="7" r:id="rId7"/>
    <sheet name="awardspace" sheetId="8" r:id="rId8"/>
    <sheet name="freehostingeu" sheetId="9" r:id="rId9"/>
    <sheet name="freehostingnoads" sheetId="10" r:id="rId10"/>
    <sheet name="hidencloud" sheetId="11" r:id="rId11"/>
    <sheet name="replit" sheetId="12" r:id="rId12"/>
    <sheet name="vercel" sheetId="13" r:id="rId13"/>
    <sheet name="render" sheetId="14" r:id="rId14"/>
    <sheet name="alwaysdata" sheetId="15" r:id="rId15"/>
    <sheet name="leapcell" sheetId="16" r:id="rId16"/>
    <sheet name="zbiorcz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3" l="1"/>
  <c r="K4" i="3"/>
  <c r="J4" i="3"/>
  <c r="I4" i="3"/>
  <c r="L3" i="3"/>
  <c r="K3" i="3"/>
  <c r="J3" i="3"/>
  <c r="I3" i="3"/>
  <c r="L2" i="3"/>
  <c r="K2" i="3"/>
  <c r="J2" i="3"/>
  <c r="I2" i="3"/>
  <c r="L4" i="2"/>
  <c r="K4" i="2"/>
  <c r="J4" i="2"/>
  <c r="I4" i="2"/>
  <c r="L3" i="2"/>
  <c r="K3" i="2"/>
  <c r="J3" i="2"/>
  <c r="I3" i="2"/>
  <c r="L2" i="2"/>
  <c r="K2" i="2"/>
  <c r="J2" i="2"/>
  <c r="I2" i="2"/>
  <c r="J4" i="1"/>
  <c r="K4" i="1"/>
  <c r="L4" i="1"/>
  <c r="I4" i="1"/>
  <c r="J3" i="1"/>
  <c r="K3" i="1"/>
  <c r="L3" i="1"/>
  <c r="I3" i="1"/>
  <c r="L2" i="1"/>
  <c r="K2" i="1"/>
  <c r="J2" i="1"/>
  <c r="I2" i="1"/>
  <c r="D3" i="17" a="1"/>
  <c r="B6" i="17" a="1"/>
  <c r="C10" i="17" a="1"/>
  <c r="C3" i="17" a="1"/>
  <c r="E10" i="17" a="1"/>
  <c r="C15" i="17" a="1"/>
  <c r="C9" i="17" a="1"/>
  <c r="D8" i="17" a="1"/>
  <c r="D6" i="17" a="1"/>
  <c r="F4" i="17" a="1"/>
  <c r="B11" i="17" a="1"/>
  <c r="B4" i="17" a="1"/>
  <c r="B7" i="17" a="1"/>
  <c r="E14" i="17" a="1"/>
  <c r="F9" i="17" a="1"/>
  <c r="F10" i="17" a="1"/>
  <c r="C7" i="17" a="1"/>
  <c r="B12" i="17" a="1"/>
  <c r="B10" i="17" a="1"/>
  <c r="E5" i="17" a="1"/>
  <c r="E4" i="17" a="1"/>
  <c r="G12" i="17" a="1"/>
  <c r="G5" i="17" a="1"/>
  <c r="D15" i="17" a="1"/>
  <c r="G14" i="17" a="1"/>
  <c r="D14" i="17" a="1"/>
  <c r="F3" i="17" a="1"/>
  <c r="C13" i="17" a="1"/>
  <c r="G13" i="17" a="1"/>
  <c r="E8" i="17" a="1"/>
  <c r="E3" i="17" a="1"/>
  <c r="B9" i="17" a="1"/>
  <c r="E11" i="17" a="1"/>
  <c r="D7" i="17" a="1"/>
  <c r="C14" i="17" a="1"/>
  <c r="G11" i="17" a="1"/>
  <c r="D13" i="17" a="1"/>
  <c r="C5" i="17" a="1"/>
  <c r="D10" i="17" a="1"/>
  <c r="C11" i="17" a="1"/>
  <c r="F8" i="17" a="1"/>
  <c r="G15" i="17" a="1"/>
  <c r="C12" i="17" a="1"/>
  <c r="G10" i="17" a="1"/>
  <c r="C6" i="17" a="1"/>
  <c r="E9" i="17" a="1"/>
  <c r="D11" i="17" a="1"/>
  <c r="D9" i="17" a="1"/>
  <c r="E7" i="17" a="1"/>
  <c r="B13" i="17" a="1"/>
  <c r="F13" i="17" a="1"/>
  <c r="F14" i="17" a="1"/>
  <c r="G9" i="17" a="1"/>
  <c r="B14" i="17" a="1"/>
  <c r="B15" i="17" a="1"/>
  <c r="E6" i="17" a="1"/>
  <c r="C8" i="17" a="1"/>
  <c r="E12" i="17" a="1"/>
  <c r="B3" i="17" a="1"/>
  <c r="D4" i="17" a="1"/>
  <c r="G3" i="17" a="1"/>
  <c r="F11" i="17" a="1"/>
  <c r="F12" i="17" a="1"/>
  <c r="G6" i="17" a="1"/>
  <c r="D5" i="17" a="1"/>
  <c r="B8" i="17" a="1"/>
  <c r="F15" i="17" a="1"/>
  <c r="F6" i="17" a="1"/>
  <c r="G4" i="17" a="1"/>
  <c r="G7" i="17" a="1"/>
  <c r="D12" i="17" a="1"/>
  <c r="G8" i="17" a="1"/>
  <c r="E15" i="17" a="1"/>
  <c r="F7" i="17" a="1"/>
  <c r="E13" i="17" a="1"/>
  <c r="C4" i="17" a="1"/>
  <c r="B5" i="17" a="1"/>
  <c r="F5" i="17" a="1"/>
  <c r="G15" i="17" l="1"/>
  <c r="G11" i="17"/>
  <c r="G7" i="17"/>
  <c r="G6" i="17"/>
  <c r="G14" i="17"/>
  <c r="G10" i="17"/>
  <c r="G13" i="17"/>
  <c r="G9" i="17"/>
  <c r="G5" i="17"/>
  <c r="G12" i="17"/>
  <c r="G8" i="17"/>
  <c r="G4" i="17"/>
  <c r="F13" i="17"/>
  <c r="F9" i="17"/>
  <c r="F4" i="17"/>
  <c r="F15" i="17"/>
  <c r="F11" i="17"/>
  <c r="F7" i="17"/>
  <c r="F5" i="17"/>
  <c r="F12" i="17"/>
  <c r="F8" i="17"/>
  <c r="F14" i="17"/>
  <c r="F10" i="17"/>
  <c r="F6" i="17"/>
  <c r="E9" i="17"/>
  <c r="E4" i="17"/>
  <c r="E7" i="17"/>
  <c r="E5" i="17"/>
  <c r="E12" i="17"/>
  <c r="E8" i="17"/>
  <c r="E15" i="17"/>
  <c r="E11" i="17"/>
  <c r="E13" i="17"/>
  <c r="E14" i="17"/>
  <c r="E10" i="17"/>
  <c r="E6" i="17"/>
  <c r="D12" i="17"/>
  <c r="D8" i="17"/>
  <c r="D4" i="17"/>
  <c r="D11" i="17"/>
  <c r="D15" i="17"/>
  <c r="D7" i="17"/>
  <c r="D14" i="17"/>
  <c r="D10" i="17"/>
  <c r="D6" i="17"/>
  <c r="D13" i="17"/>
  <c r="D9" i="17"/>
  <c r="D5" i="17"/>
  <c r="C15" i="17"/>
  <c r="C7" i="17"/>
  <c r="I7" i="17" s="1"/>
  <c r="C11" i="17"/>
  <c r="C6" i="17"/>
  <c r="C14" i="17"/>
  <c r="I14" i="17" s="1"/>
  <c r="C10" i="17"/>
  <c r="I10" i="17" s="1"/>
  <c r="C13" i="17"/>
  <c r="I13" i="17" s="1"/>
  <c r="C9" i="17"/>
  <c r="I9" i="17" s="1"/>
  <c r="C5" i="17"/>
  <c r="I5" i="17" s="1"/>
  <c r="C12" i="17"/>
  <c r="C8" i="17"/>
  <c r="C4" i="17"/>
  <c r="G3" i="17"/>
  <c r="F3" i="17"/>
  <c r="E3" i="17"/>
  <c r="D3" i="17"/>
  <c r="C3" i="17"/>
  <c r="I3" i="17" s="1"/>
  <c r="B8" i="17"/>
  <c r="B9" i="17"/>
  <c r="B12" i="17"/>
  <c r="B11" i="17"/>
  <c r="B6" i="17"/>
  <c r="B13" i="17"/>
  <c r="B5" i="17"/>
  <c r="B15" i="17"/>
  <c r="B7" i="17"/>
  <c r="B14" i="17"/>
  <c r="B10" i="17"/>
  <c r="B4" i="17"/>
  <c r="B3" i="17"/>
  <c r="I15" i="17" l="1"/>
  <c r="I4" i="17"/>
  <c r="I8" i="17"/>
  <c r="I6" i="17"/>
  <c r="I11" i="17"/>
  <c r="I1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<sst xmlns="http://schemas.openxmlformats.org/spreadsheetml/2006/main" count="132" uniqueCount="27">
  <si>
    <t>Nazwa hostingu</t>
  </si>
  <si>
    <t>x10hosting</t>
  </si>
  <si>
    <t>googiehost</t>
  </si>
  <si>
    <t>freehosting.it</t>
  </si>
  <si>
    <t>atspace</t>
  </si>
  <si>
    <t>awardspace</t>
  </si>
  <si>
    <t>freehostingeu</t>
  </si>
  <si>
    <t>freehostingnoads</t>
  </si>
  <si>
    <t>hidencloud</t>
  </si>
  <si>
    <t>replit</t>
  </si>
  <si>
    <t>vercel</t>
  </si>
  <si>
    <t>render</t>
  </si>
  <si>
    <t>alwaysdata</t>
  </si>
  <si>
    <t>leapcell</t>
  </si>
  <si>
    <t>Mediana</t>
  </si>
  <si>
    <t>Odchylenie Standardowe</t>
  </si>
  <si>
    <t>Średnia</t>
  </si>
  <si>
    <t>Średnia arytmetyczna</t>
  </si>
  <si>
    <t>INSERT</t>
  </si>
  <si>
    <t>SELECT</t>
  </si>
  <si>
    <t>UPDATE</t>
  </si>
  <si>
    <t>DELETE</t>
  </si>
  <si>
    <t>Liczba zapytań</t>
  </si>
  <si>
    <t>95. percentyl</t>
  </si>
  <si>
    <t>Procent błędów</t>
  </si>
  <si>
    <t>Przepustowość</t>
  </si>
  <si>
    <t>Aggregate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</si>
</sst>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0" xfId="0" applyNumberFormat="1"/>
    <xf numFmtId="2" fontId="2" fillId="0" borderId="4" xfId="0" applyNumberFormat="1" applyFont="1" applyBorder="1" applyAlignment="1">
      <alignment horizontal="center" vertical="center" wrapText="1"/>
    </xf>
    <xf numFmtId="0" fontId="0" fillId="0" borderId="6" xfId="0" applyBorder="1"/>
    <xf numFmtId="10" fontId="0" fillId="0" borderId="6" xfId="0" applyNumberFormat="1" applyBorder="1"/>
    <xf numFmtId="2" fontId="0" fillId="0" borderId="6" xfId="0" applyNumberFormat="1" applyBorder="1"/>
    <xf numFmtId="1" fontId="2" fillId="0" borderId="4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0" fillId="0" borderId="5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activeCell="K13" sqref="K13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18</v>
      </c>
      <c r="B1" t="s">
        <v>19</v>
      </c>
      <c r="C1" t="s">
        <v>20</v>
      </c>
      <c r="D1" t="s">
        <v>21</v>
      </c>
      <c r="I1" t="s">
        <v>18</v>
      </c>
      <c r="J1" t="s">
        <v>19</v>
      </c>
      <c r="K1" t="s">
        <v>20</v>
      </c>
      <c r="L1" t="s">
        <v>21</v>
      </c>
    </row>
    <row r="2" spans="1:13" x14ac:dyDescent="0.3">
      <c r="A2">
        <v>1781.93</v>
      </c>
      <c r="B2">
        <v>33.119999999999997</v>
      </c>
      <c r="C2">
        <v>1772.71</v>
      </c>
      <c r="D2">
        <v>0.65</v>
      </c>
      <c r="H2" t="s">
        <v>17</v>
      </c>
      <c r="I2" s="4">
        <f>AVERAGE(A$2:A$101)</f>
        <v>1595.6638000000003</v>
      </c>
      <c r="J2" s="4">
        <f>AVERAGE(B$2:B$101)</f>
        <v>23.868999999999993</v>
      </c>
      <c r="K2" s="4">
        <f>AVERAGE(C$2:C$101)</f>
        <v>1622.7807999999993</v>
      </c>
      <c r="L2" s="4">
        <f t="shared" ref="L2" si="0">AVERAGE(D$2:D$101)</f>
        <v>0.69359999999999988</v>
      </c>
      <c r="M2" s="4"/>
    </row>
    <row r="3" spans="1:13" x14ac:dyDescent="0.3">
      <c r="A3">
        <v>1681.95</v>
      </c>
      <c r="B3">
        <v>36.909999999999997</v>
      </c>
      <c r="C3">
        <v>1505.46</v>
      </c>
      <c r="D3">
        <v>0.67</v>
      </c>
      <c r="H3" t="s">
        <v>14</v>
      </c>
      <c r="I3" s="4">
        <f>MEDIAN(A$2:A$101)</f>
        <v>1565.8899999999999</v>
      </c>
      <c r="J3" s="4">
        <f t="shared" ref="J3:L3" si="1">MEDIAN(B$2:B$101)</f>
        <v>21.34</v>
      </c>
      <c r="K3" s="4">
        <f t="shared" si="1"/>
        <v>1597.5550000000001</v>
      </c>
      <c r="L3" s="4">
        <f t="shared" si="1"/>
        <v>0.66</v>
      </c>
      <c r="M3" s="4"/>
    </row>
    <row r="4" spans="1:13" x14ac:dyDescent="0.3">
      <c r="A4">
        <v>1442</v>
      </c>
      <c r="B4">
        <v>21.3</v>
      </c>
      <c r="C4">
        <v>1519.77</v>
      </c>
      <c r="D4">
        <v>0.63</v>
      </c>
      <c r="H4" t="s">
        <v>15</v>
      </c>
      <c r="I4" s="4">
        <f>_xlfn.STDEV.S(A$2:A$101)</f>
        <v>170.54169233889965</v>
      </c>
      <c r="J4" s="4">
        <f t="shared" ref="J4:L4" si="2">_xlfn.STDEV.S(B$2:B$101)</f>
        <v>8.3151268386859147</v>
      </c>
      <c r="K4" s="4">
        <f t="shared" si="2"/>
        <v>168.47811767920933</v>
      </c>
      <c r="L4" s="4">
        <f t="shared" si="2"/>
        <v>0.14541143300471679</v>
      </c>
      <c r="M4" s="4"/>
    </row>
    <row r="5" spans="1:13" x14ac:dyDescent="0.3">
      <c r="A5">
        <v>1612.88</v>
      </c>
      <c r="B5">
        <v>17.16</v>
      </c>
      <c r="C5">
        <v>1829.45</v>
      </c>
      <c r="D5">
        <v>0.64</v>
      </c>
    </row>
    <row r="6" spans="1:13" x14ac:dyDescent="0.3">
      <c r="A6">
        <v>1760.2</v>
      </c>
      <c r="B6">
        <v>20.09</v>
      </c>
      <c r="C6">
        <v>1803.95</v>
      </c>
      <c r="D6">
        <v>0.67</v>
      </c>
    </row>
    <row r="7" spans="1:13" x14ac:dyDescent="0.3">
      <c r="A7">
        <v>1596.98</v>
      </c>
      <c r="B7">
        <v>22.89</v>
      </c>
      <c r="C7">
        <v>1735.34</v>
      </c>
      <c r="D7">
        <v>0.65</v>
      </c>
    </row>
    <row r="8" spans="1:13" x14ac:dyDescent="0.3">
      <c r="A8">
        <v>1636.68</v>
      </c>
      <c r="B8">
        <v>18.75</v>
      </c>
      <c r="C8">
        <v>1419.19</v>
      </c>
      <c r="D8">
        <v>0.63</v>
      </c>
    </row>
    <row r="9" spans="1:13" x14ac:dyDescent="0.3">
      <c r="A9">
        <v>1413.08</v>
      </c>
      <c r="B9">
        <v>15.93</v>
      </c>
      <c r="C9">
        <v>1440.18</v>
      </c>
      <c r="D9">
        <v>0.66</v>
      </c>
    </row>
    <row r="10" spans="1:13" x14ac:dyDescent="0.3">
      <c r="A10">
        <v>1518.57</v>
      </c>
      <c r="B10">
        <v>24.74</v>
      </c>
      <c r="C10">
        <v>1512.16</v>
      </c>
      <c r="D10">
        <v>0.62</v>
      </c>
    </row>
    <row r="11" spans="1:13" x14ac:dyDescent="0.3">
      <c r="A11">
        <v>1544.19</v>
      </c>
      <c r="B11">
        <v>16.11</v>
      </c>
      <c r="C11">
        <v>1673.3</v>
      </c>
      <c r="D11">
        <v>0.55000000000000004</v>
      </c>
    </row>
    <row r="12" spans="1:13" x14ac:dyDescent="0.3">
      <c r="A12">
        <v>1642.72</v>
      </c>
      <c r="B12">
        <v>32.19</v>
      </c>
      <c r="C12">
        <v>1732.67</v>
      </c>
      <c r="D12">
        <v>0.76</v>
      </c>
    </row>
    <row r="13" spans="1:13" x14ac:dyDescent="0.3">
      <c r="A13">
        <v>1773.31</v>
      </c>
      <c r="B13">
        <v>29.16</v>
      </c>
      <c r="C13">
        <v>1899.68</v>
      </c>
      <c r="D13">
        <v>0.71</v>
      </c>
    </row>
    <row r="14" spans="1:13" x14ac:dyDescent="0.3">
      <c r="A14">
        <v>2031.79</v>
      </c>
      <c r="B14">
        <v>38.340000000000003</v>
      </c>
      <c r="C14">
        <v>1674.18</v>
      </c>
      <c r="D14">
        <v>0.73</v>
      </c>
    </row>
    <row r="15" spans="1:13" x14ac:dyDescent="0.3">
      <c r="A15">
        <v>1554.13</v>
      </c>
      <c r="B15">
        <v>17.91</v>
      </c>
      <c r="C15">
        <v>1363.88</v>
      </c>
      <c r="D15">
        <v>0.6</v>
      </c>
    </row>
    <row r="16" spans="1:13" x14ac:dyDescent="0.3">
      <c r="A16">
        <v>1589.56</v>
      </c>
      <c r="B16">
        <v>23.26</v>
      </c>
      <c r="C16">
        <v>1462.64</v>
      </c>
      <c r="D16">
        <v>0.62</v>
      </c>
    </row>
    <row r="17" spans="1:4" x14ac:dyDescent="0.3">
      <c r="A17">
        <v>1507.05</v>
      </c>
      <c r="B17">
        <v>25.36</v>
      </c>
      <c r="C17">
        <v>1748.23</v>
      </c>
      <c r="D17">
        <v>0.67</v>
      </c>
    </row>
    <row r="18" spans="1:4" x14ac:dyDescent="0.3">
      <c r="A18">
        <v>1695.62</v>
      </c>
      <c r="B18">
        <v>20.14</v>
      </c>
      <c r="C18">
        <v>1527.5</v>
      </c>
      <c r="D18">
        <v>0.62</v>
      </c>
    </row>
    <row r="19" spans="1:4" x14ac:dyDescent="0.3">
      <c r="A19">
        <v>1401.51</v>
      </c>
      <c r="B19">
        <v>15.88</v>
      </c>
      <c r="C19">
        <v>1430.89</v>
      </c>
      <c r="D19">
        <v>0.71</v>
      </c>
    </row>
    <row r="20" spans="1:4" x14ac:dyDescent="0.3">
      <c r="A20">
        <v>1462.53</v>
      </c>
      <c r="B20">
        <v>16.13</v>
      </c>
      <c r="C20">
        <v>1407.63</v>
      </c>
      <c r="D20">
        <v>0.67</v>
      </c>
    </row>
    <row r="21" spans="1:4" x14ac:dyDescent="0.3">
      <c r="A21">
        <v>1415.26</v>
      </c>
      <c r="B21">
        <v>15.89</v>
      </c>
      <c r="C21">
        <v>1447.14</v>
      </c>
      <c r="D21">
        <v>0.65</v>
      </c>
    </row>
    <row r="22" spans="1:4" x14ac:dyDescent="0.3">
      <c r="A22">
        <v>1721.26</v>
      </c>
      <c r="B22">
        <v>20.82</v>
      </c>
      <c r="C22">
        <v>1735.31</v>
      </c>
      <c r="D22">
        <v>0.57999999999999996</v>
      </c>
    </row>
    <row r="23" spans="1:4" x14ac:dyDescent="0.3">
      <c r="A23">
        <v>1532.27</v>
      </c>
      <c r="B23">
        <v>18.190000000000001</v>
      </c>
      <c r="C23">
        <v>1606.81</v>
      </c>
      <c r="D23">
        <v>0.66</v>
      </c>
    </row>
    <row r="24" spans="1:4" x14ac:dyDescent="0.3">
      <c r="A24">
        <v>1529.06</v>
      </c>
      <c r="B24">
        <v>27.16</v>
      </c>
      <c r="C24">
        <v>1619.26</v>
      </c>
      <c r="D24">
        <v>0.69</v>
      </c>
    </row>
    <row r="25" spans="1:4" x14ac:dyDescent="0.3">
      <c r="A25">
        <v>1582.52</v>
      </c>
      <c r="B25">
        <v>17.010000000000002</v>
      </c>
      <c r="C25">
        <v>1562.23</v>
      </c>
      <c r="D25">
        <v>0.67</v>
      </c>
    </row>
    <row r="26" spans="1:4" x14ac:dyDescent="0.3">
      <c r="A26">
        <v>1619.27</v>
      </c>
      <c r="B26">
        <v>21.81</v>
      </c>
      <c r="C26">
        <v>1679.43</v>
      </c>
      <c r="D26">
        <v>0.69</v>
      </c>
    </row>
    <row r="27" spans="1:4" x14ac:dyDescent="0.3">
      <c r="A27">
        <v>1753.79</v>
      </c>
      <c r="B27">
        <v>20.39</v>
      </c>
      <c r="C27">
        <v>1902.63</v>
      </c>
      <c r="D27">
        <v>0.67</v>
      </c>
    </row>
    <row r="28" spans="1:4" x14ac:dyDescent="0.3">
      <c r="A28">
        <v>1665.4</v>
      </c>
      <c r="B28">
        <v>47.55</v>
      </c>
      <c r="C28">
        <v>1759.35</v>
      </c>
      <c r="D28">
        <v>0.66</v>
      </c>
    </row>
    <row r="29" spans="1:4" x14ac:dyDescent="0.3">
      <c r="A29">
        <v>2026.26</v>
      </c>
      <c r="B29">
        <v>25.17</v>
      </c>
      <c r="C29">
        <v>1813.75</v>
      </c>
      <c r="D29">
        <v>1.1100000000000001</v>
      </c>
    </row>
    <row r="30" spans="1:4" x14ac:dyDescent="0.3">
      <c r="A30">
        <v>1870.11</v>
      </c>
      <c r="B30">
        <v>33.5</v>
      </c>
      <c r="C30">
        <v>1850.62</v>
      </c>
      <c r="D30">
        <v>0.77</v>
      </c>
    </row>
    <row r="31" spans="1:4" x14ac:dyDescent="0.3">
      <c r="A31">
        <v>1874.23</v>
      </c>
      <c r="B31">
        <v>21.91</v>
      </c>
      <c r="C31">
        <v>1889.67</v>
      </c>
      <c r="D31">
        <v>0.77</v>
      </c>
    </row>
    <row r="32" spans="1:4" x14ac:dyDescent="0.3">
      <c r="A32">
        <v>1680.73</v>
      </c>
      <c r="B32">
        <v>21.73</v>
      </c>
      <c r="C32">
        <v>1932.7</v>
      </c>
      <c r="D32">
        <v>0.59</v>
      </c>
    </row>
    <row r="33" spans="1:4" x14ac:dyDescent="0.3">
      <c r="A33">
        <v>1590.4</v>
      </c>
      <c r="B33">
        <v>29.78</v>
      </c>
      <c r="C33">
        <v>1609.61</v>
      </c>
      <c r="D33">
        <v>0.65</v>
      </c>
    </row>
    <row r="34" spans="1:4" x14ac:dyDescent="0.3">
      <c r="A34">
        <v>1513.97</v>
      </c>
      <c r="B34">
        <v>15.88</v>
      </c>
      <c r="C34">
        <v>1439.72</v>
      </c>
      <c r="D34">
        <v>0.57999999999999996</v>
      </c>
    </row>
    <row r="35" spans="1:4" x14ac:dyDescent="0.3">
      <c r="A35">
        <v>1435.61</v>
      </c>
      <c r="B35">
        <v>21.99</v>
      </c>
      <c r="C35">
        <v>1500.16</v>
      </c>
      <c r="D35">
        <v>0.7</v>
      </c>
    </row>
    <row r="36" spans="1:4" x14ac:dyDescent="0.3">
      <c r="A36">
        <v>1470.62</v>
      </c>
      <c r="B36">
        <v>19.55</v>
      </c>
      <c r="C36">
        <v>1407.1</v>
      </c>
      <c r="D36">
        <v>0.66</v>
      </c>
    </row>
    <row r="37" spans="1:4" x14ac:dyDescent="0.3">
      <c r="A37">
        <v>1728.57</v>
      </c>
      <c r="B37">
        <v>20.55</v>
      </c>
      <c r="C37">
        <v>1765.91</v>
      </c>
      <c r="D37">
        <v>0.63</v>
      </c>
    </row>
    <row r="38" spans="1:4" x14ac:dyDescent="0.3">
      <c r="A38">
        <v>1520.74</v>
      </c>
      <c r="B38">
        <v>18.600000000000001</v>
      </c>
      <c r="C38">
        <v>1476.89</v>
      </c>
      <c r="D38">
        <v>0.72</v>
      </c>
    </row>
    <row r="39" spans="1:4" x14ac:dyDescent="0.3">
      <c r="A39">
        <v>1490.14</v>
      </c>
      <c r="B39">
        <v>34.04</v>
      </c>
      <c r="C39">
        <v>1517.9</v>
      </c>
      <c r="D39">
        <v>0.88</v>
      </c>
    </row>
    <row r="40" spans="1:4" x14ac:dyDescent="0.3">
      <c r="A40">
        <v>1529.76</v>
      </c>
      <c r="B40">
        <v>25.13</v>
      </c>
      <c r="C40">
        <v>1552.39</v>
      </c>
      <c r="D40">
        <v>0.66</v>
      </c>
    </row>
    <row r="41" spans="1:4" x14ac:dyDescent="0.3">
      <c r="A41">
        <v>1564.1</v>
      </c>
      <c r="B41">
        <v>45.28</v>
      </c>
      <c r="C41">
        <v>1575.4</v>
      </c>
      <c r="D41">
        <v>0.77</v>
      </c>
    </row>
    <row r="42" spans="1:4" x14ac:dyDescent="0.3">
      <c r="A42">
        <v>1551.81</v>
      </c>
      <c r="B42">
        <v>30.19</v>
      </c>
      <c r="C42">
        <v>1711.93</v>
      </c>
      <c r="D42">
        <v>0.62</v>
      </c>
    </row>
    <row r="43" spans="1:4" x14ac:dyDescent="0.3">
      <c r="A43">
        <v>1525.36</v>
      </c>
      <c r="B43">
        <v>35.31</v>
      </c>
      <c r="C43">
        <v>1645.04</v>
      </c>
      <c r="D43">
        <v>0.63</v>
      </c>
    </row>
    <row r="44" spans="1:4" x14ac:dyDescent="0.3">
      <c r="A44">
        <v>1639.87</v>
      </c>
      <c r="B44">
        <v>28.3</v>
      </c>
      <c r="C44">
        <v>1736.33</v>
      </c>
      <c r="D44">
        <v>0.57999999999999996</v>
      </c>
    </row>
    <row r="45" spans="1:4" x14ac:dyDescent="0.3">
      <c r="A45">
        <v>1795.43</v>
      </c>
      <c r="B45">
        <v>65.959999999999994</v>
      </c>
      <c r="C45">
        <v>1909.84</v>
      </c>
      <c r="D45">
        <v>0.61</v>
      </c>
    </row>
    <row r="46" spans="1:4" x14ac:dyDescent="0.3">
      <c r="A46">
        <v>2025.1</v>
      </c>
      <c r="B46">
        <v>30.28</v>
      </c>
      <c r="C46">
        <v>1851.33</v>
      </c>
      <c r="D46">
        <v>0.64</v>
      </c>
    </row>
    <row r="47" spans="1:4" x14ac:dyDescent="0.3">
      <c r="A47">
        <v>1501.03</v>
      </c>
      <c r="B47">
        <v>21.3</v>
      </c>
      <c r="C47">
        <v>1709.33</v>
      </c>
      <c r="D47">
        <v>0.67</v>
      </c>
    </row>
    <row r="48" spans="1:4" x14ac:dyDescent="0.3">
      <c r="A48">
        <v>1443.22</v>
      </c>
      <c r="B48">
        <v>21.57</v>
      </c>
      <c r="C48">
        <v>1544.55</v>
      </c>
      <c r="D48">
        <v>0.65</v>
      </c>
    </row>
    <row r="49" spans="1:4" x14ac:dyDescent="0.3">
      <c r="A49">
        <v>1593.93</v>
      </c>
      <c r="B49">
        <v>16.739999999999998</v>
      </c>
      <c r="C49">
        <v>1587.51</v>
      </c>
      <c r="D49">
        <v>0.76</v>
      </c>
    </row>
    <row r="50" spans="1:4" x14ac:dyDescent="0.3">
      <c r="A50">
        <v>1557.19</v>
      </c>
      <c r="B50">
        <v>20.170000000000002</v>
      </c>
      <c r="C50">
        <v>1719.63</v>
      </c>
      <c r="D50">
        <v>0.99</v>
      </c>
    </row>
    <row r="51" spans="1:4" x14ac:dyDescent="0.3">
      <c r="A51">
        <v>1925.39</v>
      </c>
      <c r="B51">
        <v>29.99</v>
      </c>
      <c r="C51">
        <v>1938.14</v>
      </c>
      <c r="D51">
        <v>0.64</v>
      </c>
    </row>
    <row r="52" spans="1:4" x14ac:dyDescent="0.3">
      <c r="A52">
        <v>1485.62</v>
      </c>
      <c r="B52">
        <v>21.89</v>
      </c>
      <c r="C52">
        <v>1603.97</v>
      </c>
      <c r="D52">
        <v>0.87</v>
      </c>
    </row>
    <row r="53" spans="1:4" x14ac:dyDescent="0.3">
      <c r="A53">
        <v>1428.01</v>
      </c>
      <c r="B53">
        <v>26.55</v>
      </c>
      <c r="C53">
        <v>1371.44</v>
      </c>
      <c r="D53">
        <v>0.73</v>
      </c>
    </row>
    <row r="54" spans="1:4" x14ac:dyDescent="0.3">
      <c r="A54">
        <v>1356.93</v>
      </c>
      <c r="B54">
        <v>18.2</v>
      </c>
      <c r="C54">
        <v>1348.44</v>
      </c>
      <c r="D54">
        <v>0.81</v>
      </c>
    </row>
    <row r="55" spans="1:4" x14ac:dyDescent="0.3">
      <c r="A55">
        <v>1291.26</v>
      </c>
      <c r="B55">
        <v>27.55</v>
      </c>
      <c r="C55">
        <v>1317.25</v>
      </c>
      <c r="D55">
        <v>0.97</v>
      </c>
    </row>
    <row r="56" spans="1:4" x14ac:dyDescent="0.3">
      <c r="A56">
        <v>1414.22</v>
      </c>
      <c r="B56">
        <v>15.82</v>
      </c>
      <c r="C56">
        <v>1430.02</v>
      </c>
      <c r="D56">
        <v>0.83</v>
      </c>
    </row>
    <row r="57" spans="1:4" x14ac:dyDescent="0.3">
      <c r="A57">
        <v>1635.82</v>
      </c>
      <c r="B57">
        <v>21.36</v>
      </c>
      <c r="C57">
        <v>1654.27</v>
      </c>
      <c r="D57">
        <v>0.64</v>
      </c>
    </row>
    <row r="58" spans="1:4" x14ac:dyDescent="0.3">
      <c r="A58">
        <v>1529.16</v>
      </c>
      <c r="B58">
        <v>17.77</v>
      </c>
      <c r="C58">
        <v>1399.98</v>
      </c>
      <c r="D58">
        <v>0.61</v>
      </c>
    </row>
    <row r="59" spans="1:4" x14ac:dyDescent="0.3">
      <c r="A59">
        <v>1370.37</v>
      </c>
      <c r="B59">
        <v>16.5</v>
      </c>
      <c r="C59">
        <v>2022.9</v>
      </c>
      <c r="D59">
        <v>0.65</v>
      </c>
    </row>
    <row r="60" spans="1:4" x14ac:dyDescent="0.3">
      <c r="A60">
        <v>1495.53</v>
      </c>
      <c r="B60">
        <v>16.89</v>
      </c>
      <c r="C60">
        <v>1347.9</v>
      </c>
      <c r="D60">
        <v>0.6</v>
      </c>
    </row>
    <row r="61" spans="1:4" x14ac:dyDescent="0.3">
      <c r="A61">
        <v>1375.25</v>
      </c>
      <c r="B61">
        <v>17.37</v>
      </c>
      <c r="C61">
        <v>1603.88</v>
      </c>
      <c r="D61">
        <v>0.59</v>
      </c>
    </row>
    <row r="62" spans="1:4" x14ac:dyDescent="0.3">
      <c r="A62">
        <v>1567.68</v>
      </c>
      <c r="B62">
        <v>26.48</v>
      </c>
      <c r="C62">
        <v>1591.23</v>
      </c>
      <c r="D62">
        <v>0.75</v>
      </c>
    </row>
    <row r="63" spans="1:4" x14ac:dyDescent="0.3">
      <c r="A63">
        <v>1420.99</v>
      </c>
      <c r="B63">
        <v>24.85</v>
      </c>
      <c r="C63">
        <v>1406.41</v>
      </c>
      <c r="D63">
        <v>0.68</v>
      </c>
    </row>
    <row r="64" spans="1:4" x14ac:dyDescent="0.3">
      <c r="A64">
        <v>1293.8699999999999</v>
      </c>
      <c r="B64">
        <v>18.329999999999998</v>
      </c>
      <c r="C64">
        <v>1409.93</v>
      </c>
      <c r="D64">
        <v>0.64</v>
      </c>
    </row>
    <row r="65" spans="1:4" x14ac:dyDescent="0.3">
      <c r="A65">
        <v>1327.7</v>
      </c>
      <c r="B65">
        <v>17.920000000000002</v>
      </c>
      <c r="C65">
        <v>1334.49</v>
      </c>
      <c r="D65">
        <v>0.57999999999999996</v>
      </c>
    </row>
    <row r="66" spans="1:4" x14ac:dyDescent="0.3">
      <c r="A66">
        <v>1281.52</v>
      </c>
      <c r="B66">
        <v>16.34</v>
      </c>
      <c r="C66">
        <v>1405.15</v>
      </c>
      <c r="D66">
        <v>0.65</v>
      </c>
    </row>
    <row r="67" spans="1:4" x14ac:dyDescent="0.3">
      <c r="A67">
        <v>1695.05</v>
      </c>
      <c r="B67">
        <v>37.93</v>
      </c>
      <c r="C67">
        <v>1660.56</v>
      </c>
      <c r="D67">
        <v>0.65</v>
      </c>
    </row>
    <row r="68" spans="1:4" x14ac:dyDescent="0.3">
      <c r="A68">
        <v>1524.89</v>
      </c>
      <c r="B68">
        <v>25.09</v>
      </c>
      <c r="C68">
        <v>1649.21</v>
      </c>
      <c r="D68">
        <v>0.69</v>
      </c>
    </row>
    <row r="69" spans="1:4" x14ac:dyDescent="0.3">
      <c r="A69">
        <v>1543.41</v>
      </c>
      <c r="B69">
        <v>17.04</v>
      </c>
      <c r="C69">
        <v>1438.01</v>
      </c>
      <c r="D69">
        <v>0.62</v>
      </c>
    </row>
    <row r="70" spans="1:4" x14ac:dyDescent="0.3">
      <c r="A70">
        <v>1676.46</v>
      </c>
      <c r="B70">
        <v>18.670000000000002</v>
      </c>
      <c r="C70">
        <v>1589.78</v>
      </c>
      <c r="D70">
        <v>0.57999999999999996</v>
      </c>
    </row>
    <row r="71" spans="1:4" x14ac:dyDescent="0.3">
      <c r="A71">
        <v>1514.71</v>
      </c>
      <c r="B71">
        <v>17.04</v>
      </c>
      <c r="C71">
        <v>1481.27</v>
      </c>
      <c r="D71">
        <v>0.57999999999999996</v>
      </c>
    </row>
    <row r="72" spans="1:4" x14ac:dyDescent="0.3">
      <c r="A72">
        <v>1521.13</v>
      </c>
      <c r="B72">
        <v>22.47</v>
      </c>
      <c r="C72">
        <v>1742.02</v>
      </c>
      <c r="D72">
        <v>0.74</v>
      </c>
    </row>
    <row r="73" spans="1:4" x14ac:dyDescent="0.3">
      <c r="A73">
        <v>1579.58</v>
      </c>
      <c r="B73">
        <v>20.16</v>
      </c>
      <c r="C73">
        <v>1698.05</v>
      </c>
      <c r="D73">
        <v>0.67</v>
      </c>
    </row>
    <row r="74" spans="1:4" x14ac:dyDescent="0.3">
      <c r="A74">
        <v>1706.66</v>
      </c>
      <c r="B74">
        <v>21.63</v>
      </c>
      <c r="C74">
        <v>1628.54</v>
      </c>
      <c r="D74">
        <v>0.68</v>
      </c>
    </row>
    <row r="75" spans="1:4" x14ac:dyDescent="0.3">
      <c r="A75">
        <v>1511.52</v>
      </c>
      <c r="B75">
        <v>16.11</v>
      </c>
      <c r="C75">
        <v>1559.51</v>
      </c>
      <c r="D75">
        <v>0.62</v>
      </c>
    </row>
    <row r="76" spans="1:4" x14ac:dyDescent="0.3">
      <c r="A76">
        <v>1548.52</v>
      </c>
      <c r="B76">
        <v>15.82</v>
      </c>
      <c r="C76">
        <v>1466.48</v>
      </c>
      <c r="D76">
        <v>0.68</v>
      </c>
    </row>
    <row r="77" spans="1:4" x14ac:dyDescent="0.3">
      <c r="A77">
        <v>1523.64</v>
      </c>
      <c r="B77">
        <v>19.670000000000002</v>
      </c>
      <c r="C77">
        <v>1848.68</v>
      </c>
      <c r="D77">
        <v>0.66</v>
      </c>
    </row>
    <row r="78" spans="1:4" x14ac:dyDescent="0.3">
      <c r="A78">
        <v>1738.67</v>
      </c>
      <c r="B78">
        <v>21.55</v>
      </c>
      <c r="C78">
        <v>1770.76</v>
      </c>
      <c r="D78">
        <v>0.71</v>
      </c>
    </row>
    <row r="79" spans="1:4" x14ac:dyDescent="0.3">
      <c r="A79">
        <v>1693.57</v>
      </c>
      <c r="B79">
        <v>21.07</v>
      </c>
      <c r="C79">
        <v>1571.75</v>
      </c>
      <c r="D79">
        <v>0.71</v>
      </c>
    </row>
    <row r="80" spans="1:4" x14ac:dyDescent="0.3">
      <c r="A80">
        <v>1570.06</v>
      </c>
      <c r="B80">
        <v>21.62</v>
      </c>
      <c r="C80">
        <v>1574.07</v>
      </c>
      <c r="D80">
        <v>0.64</v>
      </c>
    </row>
    <row r="81" spans="1:4" x14ac:dyDescent="0.3">
      <c r="A81">
        <v>1682.86</v>
      </c>
      <c r="B81">
        <v>18.690000000000001</v>
      </c>
      <c r="C81">
        <v>1797.11</v>
      </c>
      <c r="D81">
        <v>0.68</v>
      </c>
    </row>
    <row r="82" spans="1:4" x14ac:dyDescent="0.3">
      <c r="A82">
        <v>1571.87</v>
      </c>
      <c r="B82">
        <v>17.73</v>
      </c>
      <c r="C82">
        <v>1613.26</v>
      </c>
      <c r="D82">
        <v>0.64</v>
      </c>
    </row>
    <row r="83" spans="1:4" x14ac:dyDescent="0.3">
      <c r="A83">
        <v>1510.13</v>
      </c>
      <c r="B83">
        <v>16.71</v>
      </c>
      <c r="C83">
        <v>1476.32</v>
      </c>
      <c r="D83">
        <v>0.65</v>
      </c>
    </row>
    <row r="84" spans="1:4" x14ac:dyDescent="0.3">
      <c r="A84">
        <v>1490.86</v>
      </c>
      <c r="B84">
        <v>18.27</v>
      </c>
      <c r="C84">
        <v>1581.48</v>
      </c>
      <c r="D84">
        <v>0.59</v>
      </c>
    </row>
    <row r="85" spans="1:4" x14ac:dyDescent="0.3">
      <c r="A85">
        <v>1533.09</v>
      </c>
      <c r="B85">
        <v>16.920000000000002</v>
      </c>
      <c r="C85">
        <v>1673.37</v>
      </c>
      <c r="D85">
        <v>0.56999999999999995</v>
      </c>
    </row>
    <row r="86" spans="1:4" x14ac:dyDescent="0.3">
      <c r="A86">
        <v>1592.89</v>
      </c>
      <c r="B86">
        <v>16.600000000000001</v>
      </c>
      <c r="C86">
        <v>1642.03</v>
      </c>
      <c r="D86">
        <v>0.72</v>
      </c>
    </row>
    <row r="87" spans="1:4" x14ac:dyDescent="0.3">
      <c r="A87">
        <v>1608.76</v>
      </c>
      <c r="B87">
        <v>21.32</v>
      </c>
      <c r="C87">
        <v>1745.21</v>
      </c>
      <c r="D87">
        <v>0.68</v>
      </c>
    </row>
    <row r="88" spans="1:4" x14ac:dyDescent="0.3">
      <c r="A88">
        <v>1547.63</v>
      </c>
      <c r="B88">
        <v>40.4</v>
      </c>
      <c r="C88">
        <v>1565.76</v>
      </c>
      <c r="D88">
        <v>0.77</v>
      </c>
    </row>
    <row r="89" spans="1:4" x14ac:dyDescent="0.3">
      <c r="A89">
        <v>1640.18</v>
      </c>
      <c r="B89">
        <v>21.01</v>
      </c>
      <c r="C89">
        <v>1575.55</v>
      </c>
      <c r="D89">
        <v>0.72</v>
      </c>
    </row>
    <row r="90" spans="1:4" x14ac:dyDescent="0.3">
      <c r="A90">
        <v>1649.06</v>
      </c>
      <c r="B90">
        <v>25.83</v>
      </c>
      <c r="C90">
        <v>1563.57</v>
      </c>
      <c r="D90">
        <v>0.73</v>
      </c>
    </row>
    <row r="91" spans="1:4" x14ac:dyDescent="0.3">
      <c r="A91">
        <v>1641.42</v>
      </c>
      <c r="B91">
        <v>16.14</v>
      </c>
      <c r="C91">
        <v>1553.32</v>
      </c>
      <c r="D91">
        <v>0.69</v>
      </c>
    </row>
    <row r="92" spans="1:4" x14ac:dyDescent="0.3">
      <c r="A92">
        <v>1807.27</v>
      </c>
      <c r="B92">
        <v>27.93</v>
      </c>
      <c r="C92">
        <v>2049.27</v>
      </c>
      <c r="D92">
        <v>0.7</v>
      </c>
    </row>
    <row r="93" spans="1:4" x14ac:dyDescent="0.3">
      <c r="A93">
        <v>1815.74</v>
      </c>
      <c r="B93">
        <v>34.049999999999997</v>
      </c>
      <c r="C93">
        <v>1847.67</v>
      </c>
      <c r="D93">
        <v>1.83</v>
      </c>
    </row>
    <row r="94" spans="1:4" x14ac:dyDescent="0.3">
      <c r="A94">
        <v>1723.06</v>
      </c>
      <c r="B94">
        <v>35.74</v>
      </c>
      <c r="C94">
        <v>1903.65</v>
      </c>
      <c r="D94">
        <v>0.66</v>
      </c>
    </row>
    <row r="95" spans="1:4" x14ac:dyDescent="0.3">
      <c r="A95">
        <v>2382.63</v>
      </c>
      <c r="B95">
        <v>37.049999999999997</v>
      </c>
      <c r="C95">
        <v>1786.93</v>
      </c>
      <c r="D95">
        <v>0.64</v>
      </c>
    </row>
    <row r="96" spans="1:4" x14ac:dyDescent="0.3">
      <c r="A96">
        <v>1576.2</v>
      </c>
      <c r="B96">
        <v>36.409999999999997</v>
      </c>
      <c r="C96">
        <v>1505.83</v>
      </c>
      <c r="D96">
        <v>0.7</v>
      </c>
    </row>
    <row r="97" spans="1:4" x14ac:dyDescent="0.3">
      <c r="A97">
        <v>1638.94</v>
      </c>
      <c r="B97">
        <v>25.92</v>
      </c>
      <c r="C97">
        <v>1797.55</v>
      </c>
      <c r="D97">
        <v>0.67</v>
      </c>
    </row>
    <row r="98" spans="1:4" x14ac:dyDescent="0.3">
      <c r="A98">
        <v>1734.68</v>
      </c>
      <c r="B98">
        <v>30.11</v>
      </c>
      <c r="C98">
        <v>1583.96</v>
      </c>
      <c r="D98">
        <v>0.89</v>
      </c>
    </row>
    <row r="99" spans="1:4" x14ac:dyDescent="0.3">
      <c r="A99">
        <v>1475.82</v>
      </c>
      <c r="B99">
        <v>21.15</v>
      </c>
      <c r="C99">
        <v>1492.04</v>
      </c>
      <c r="D99">
        <v>0.68</v>
      </c>
    </row>
    <row r="100" spans="1:4" x14ac:dyDescent="0.3">
      <c r="A100">
        <v>1504.41</v>
      </c>
      <c r="B100">
        <v>19.27</v>
      </c>
      <c r="C100">
        <v>1582.77</v>
      </c>
      <c r="D100">
        <v>0.66</v>
      </c>
    </row>
    <row r="101" spans="1:4" x14ac:dyDescent="0.3">
      <c r="A101">
        <v>1498</v>
      </c>
      <c r="B101">
        <v>22.85</v>
      </c>
      <c r="C101">
        <v>1559.06</v>
      </c>
      <c r="D101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7DEE-7D34-4EBE-8CD0-8684E441FFEA}">
  <dimension ref="A1:M101"/>
  <sheetViews>
    <sheetView workbookViewId="0">
      <selection activeCell="G21" sqref="G21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18</v>
      </c>
      <c r="B1" t="s">
        <v>19</v>
      </c>
      <c r="C1" t="s">
        <v>20</v>
      </c>
      <c r="D1" t="s">
        <v>21</v>
      </c>
      <c r="I1" t="s">
        <v>18</v>
      </c>
      <c r="J1" t="s">
        <v>19</v>
      </c>
      <c r="K1" t="s">
        <v>20</v>
      </c>
      <c r="L1" t="s">
        <v>21</v>
      </c>
    </row>
    <row r="2" spans="1:13" x14ac:dyDescent="0.3">
      <c r="A2">
        <v>1366.47</v>
      </c>
      <c r="B2">
        <v>24.33</v>
      </c>
      <c r="C2">
        <v>1443.74</v>
      </c>
      <c r="D2">
        <v>0.76</v>
      </c>
      <c r="H2" t="s">
        <v>17</v>
      </c>
      <c r="I2" s="4">
        <f>AVERAGE(A$2:A$101)</f>
        <v>1303.2593999999999</v>
      </c>
      <c r="J2" s="4">
        <f>AVERAGE(B$2:B$101)</f>
        <v>19.517600000000002</v>
      </c>
      <c r="K2" s="4">
        <f>AVERAGE(C$2:C$101)</f>
        <v>1302.7999999999995</v>
      </c>
      <c r="L2" s="4">
        <f t="shared" ref="L2" si="0">AVERAGE(D$2:D$101)</f>
        <v>0.97390000000000032</v>
      </c>
      <c r="M2" s="4"/>
    </row>
    <row r="3" spans="1:13" x14ac:dyDescent="0.3">
      <c r="A3">
        <v>1462.19</v>
      </c>
      <c r="B3">
        <v>40.340000000000003</v>
      </c>
      <c r="C3">
        <v>1376.8</v>
      </c>
      <c r="D3">
        <v>0.91</v>
      </c>
      <c r="H3" t="s">
        <v>14</v>
      </c>
      <c r="I3" s="4">
        <f>MEDIAN(A$2:A$101)</f>
        <v>1271.0350000000001</v>
      </c>
      <c r="J3" s="4">
        <f t="shared" ref="J3:L3" si="1">MEDIAN(B$2:B$101)</f>
        <v>18.13</v>
      </c>
      <c r="K3" s="4">
        <f t="shared" si="1"/>
        <v>1281.94</v>
      </c>
      <c r="L3" s="4">
        <f t="shared" si="1"/>
        <v>0.76500000000000001</v>
      </c>
      <c r="M3" s="4"/>
    </row>
    <row r="4" spans="1:13" x14ac:dyDescent="0.3">
      <c r="A4">
        <v>1476.79</v>
      </c>
      <c r="B4">
        <v>15.61</v>
      </c>
      <c r="C4">
        <v>1461.24</v>
      </c>
      <c r="D4">
        <v>0.76</v>
      </c>
      <c r="H4" t="s">
        <v>15</v>
      </c>
      <c r="I4" s="4">
        <f>_xlfn.STDEV.S(A$2:A$101)</f>
        <v>167.70673997177585</v>
      </c>
      <c r="J4" s="4">
        <f t="shared" ref="J4:L4" si="2">_xlfn.STDEV.S(B$2:B$101)</f>
        <v>5.2894010888557039</v>
      </c>
      <c r="K4" s="4">
        <f t="shared" si="2"/>
        <v>130.74933564541416</v>
      </c>
      <c r="L4" s="4">
        <f t="shared" si="2"/>
        <v>1.7171516790571781</v>
      </c>
      <c r="M4" s="4"/>
    </row>
    <row r="5" spans="1:13" x14ac:dyDescent="0.3">
      <c r="A5">
        <v>1389.75</v>
      </c>
      <c r="B5">
        <v>15.19</v>
      </c>
      <c r="C5">
        <v>1408.74</v>
      </c>
      <c r="D5">
        <v>0.78</v>
      </c>
    </row>
    <row r="6" spans="1:13" x14ac:dyDescent="0.3">
      <c r="A6">
        <v>1266.9000000000001</v>
      </c>
      <c r="B6">
        <v>14.56</v>
      </c>
      <c r="C6">
        <v>1347.08</v>
      </c>
      <c r="D6">
        <v>0.79</v>
      </c>
    </row>
    <row r="7" spans="1:13" x14ac:dyDescent="0.3">
      <c r="A7">
        <v>1282.42</v>
      </c>
      <c r="B7">
        <v>19.84</v>
      </c>
      <c r="C7">
        <v>1383.04</v>
      </c>
      <c r="D7">
        <v>0.93</v>
      </c>
    </row>
    <row r="8" spans="1:13" x14ac:dyDescent="0.3">
      <c r="A8">
        <v>1233.2</v>
      </c>
      <c r="B8">
        <v>15.86</v>
      </c>
      <c r="C8">
        <v>1288.56</v>
      </c>
      <c r="D8">
        <v>1.01</v>
      </c>
    </row>
    <row r="9" spans="1:13" x14ac:dyDescent="0.3">
      <c r="A9">
        <v>1256.56</v>
      </c>
      <c r="B9">
        <v>26.75</v>
      </c>
      <c r="C9">
        <v>1423.36</v>
      </c>
      <c r="D9">
        <v>0.81</v>
      </c>
    </row>
    <row r="10" spans="1:13" x14ac:dyDescent="0.3">
      <c r="A10">
        <v>1255.48</v>
      </c>
      <c r="B10">
        <v>20.89</v>
      </c>
      <c r="C10">
        <v>1268.8800000000001</v>
      </c>
      <c r="D10">
        <v>0.82</v>
      </c>
    </row>
    <row r="11" spans="1:13" x14ac:dyDescent="0.3">
      <c r="A11">
        <v>1251.72</v>
      </c>
      <c r="B11">
        <v>29.41</v>
      </c>
      <c r="C11">
        <v>1322.11</v>
      </c>
      <c r="D11">
        <v>0.88</v>
      </c>
    </row>
    <row r="12" spans="1:13" x14ac:dyDescent="0.3">
      <c r="A12">
        <v>1335.25</v>
      </c>
      <c r="B12">
        <v>22.6</v>
      </c>
      <c r="C12">
        <v>1383.6</v>
      </c>
      <c r="D12">
        <v>0.75</v>
      </c>
    </row>
    <row r="13" spans="1:13" x14ac:dyDescent="0.3">
      <c r="A13">
        <v>1276.32</v>
      </c>
      <c r="B13">
        <v>26.68</v>
      </c>
      <c r="C13">
        <v>1256.69</v>
      </c>
      <c r="D13">
        <v>0.84</v>
      </c>
    </row>
    <row r="14" spans="1:13" x14ac:dyDescent="0.3">
      <c r="A14">
        <v>1491.39</v>
      </c>
      <c r="B14">
        <v>16.170000000000002</v>
      </c>
      <c r="C14">
        <v>1247.04</v>
      </c>
      <c r="D14">
        <v>0.8</v>
      </c>
    </row>
    <row r="15" spans="1:13" x14ac:dyDescent="0.3">
      <c r="A15">
        <v>1228.1199999999999</v>
      </c>
      <c r="B15">
        <v>21.11</v>
      </c>
      <c r="C15">
        <v>1288.8800000000001</v>
      </c>
      <c r="D15">
        <v>0.81</v>
      </c>
    </row>
    <row r="16" spans="1:13" x14ac:dyDescent="0.3">
      <c r="A16">
        <v>1310.48</v>
      </c>
      <c r="B16">
        <v>15.13</v>
      </c>
      <c r="C16">
        <v>1269.0999999999999</v>
      </c>
      <c r="D16">
        <v>0.7</v>
      </c>
    </row>
    <row r="17" spans="1:4" x14ac:dyDescent="0.3">
      <c r="A17">
        <v>1345.27</v>
      </c>
      <c r="B17">
        <v>20.72</v>
      </c>
      <c r="C17">
        <v>1479.94</v>
      </c>
      <c r="D17">
        <v>0.82</v>
      </c>
    </row>
    <row r="18" spans="1:4" x14ac:dyDescent="0.3">
      <c r="A18">
        <v>1252.93</v>
      </c>
      <c r="B18">
        <v>15.28</v>
      </c>
      <c r="C18">
        <v>1203.4000000000001</v>
      </c>
      <c r="D18">
        <v>0.68</v>
      </c>
    </row>
    <row r="19" spans="1:4" x14ac:dyDescent="0.3">
      <c r="A19">
        <v>1084.1400000000001</v>
      </c>
      <c r="B19">
        <v>14.69</v>
      </c>
      <c r="C19">
        <v>1138</v>
      </c>
      <c r="D19">
        <v>0.72</v>
      </c>
    </row>
    <row r="20" spans="1:4" x14ac:dyDescent="0.3">
      <c r="A20">
        <v>1701.45</v>
      </c>
      <c r="B20">
        <v>15.01</v>
      </c>
      <c r="C20">
        <v>1160.58</v>
      </c>
      <c r="D20">
        <v>0.72</v>
      </c>
    </row>
    <row r="21" spans="1:4" x14ac:dyDescent="0.3">
      <c r="A21">
        <v>1190.7</v>
      </c>
      <c r="B21">
        <v>16.39</v>
      </c>
      <c r="C21">
        <v>1186.24</v>
      </c>
      <c r="D21">
        <v>0.71</v>
      </c>
    </row>
    <row r="22" spans="1:4" x14ac:dyDescent="0.3">
      <c r="A22">
        <v>1258.8399999999999</v>
      </c>
      <c r="B22">
        <v>17.239999999999998</v>
      </c>
      <c r="C22">
        <v>1319.27</v>
      </c>
      <c r="D22">
        <v>0.71</v>
      </c>
    </row>
    <row r="23" spans="1:4" x14ac:dyDescent="0.3">
      <c r="A23">
        <v>1168.44</v>
      </c>
      <c r="B23">
        <v>18.7</v>
      </c>
      <c r="C23">
        <v>1198.8699999999999</v>
      </c>
      <c r="D23">
        <v>0.7</v>
      </c>
    </row>
    <row r="24" spans="1:4" x14ac:dyDescent="0.3">
      <c r="A24">
        <v>1450.2</v>
      </c>
      <c r="B24">
        <v>16.52</v>
      </c>
      <c r="C24">
        <v>1438.31</v>
      </c>
      <c r="D24">
        <v>0.8</v>
      </c>
    </row>
    <row r="25" spans="1:4" x14ac:dyDescent="0.3">
      <c r="A25">
        <v>1483.64</v>
      </c>
      <c r="B25">
        <v>39.61</v>
      </c>
      <c r="C25">
        <v>1290.9000000000001</v>
      </c>
      <c r="D25">
        <v>0.69</v>
      </c>
    </row>
    <row r="26" spans="1:4" x14ac:dyDescent="0.3">
      <c r="A26">
        <v>1244.1600000000001</v>
      </c>
      <c r="B26">
        <v>15.51</v>
      </c>
      <c r="C26">
        <v>1195.7</v>
      </c>
      <c r="D26">
        <v>0.81</v>
      </c>
    </row>
    <row r="27" spans="1:4" x14ac:dyDescent="0.3">
      <c r="A27">
        <v>1279.06</v>
      </c>
      <c r="B27">
        <v>20.9</v>
      </c>
      <c r="C27">
        <v>1555.64</v>
      </c>
      <c r="D27">
        <v>0.77</v>
      </c>
    </row>
    <row r="28" spans="1:4" x14ac:dyDescent="0.3">
      <c r="A28">
        <v>1366.44</v>
      </c>
      <c r="B28">
        <v>25.7</v>
      </c>
      <c r="C28">
        <v>1381.16</v>
      </c>
      <c r="D28">
        <v>0.78</v>
      </c>
    </row>
    <row r="29" spans="1:4" x14ac:dyDescent="0.3">
      <c r="A29">
        <v>1324.58</v>
      </c>
      <c r="B29">
        <v>15.24</v>
      </c>
      <c r="C29">
        <v>1217.77</v>
      </c>
      <c r="D29">
        <v>0.74</v>
      </c>
    </row>
    <row r="30" spans="1:4" x14ac:dyDescent="0.3">
      <c r="A30">
        <v>1342.31</v>
      </c>
      <c r="B30">
        <v>20.25</v>
      </c>
      <c r="C30">
        <v>1361.6</v>
      </c>
      <c r="D30">
        <v>0.72</v>
      </c>
    </row>
    <row r="31" spans="1:4" x14ac:dyDescent="0.3">
      <c r="A31">
        <v>1357.97</v>
      </c>
      <c r="B31">
        <v>20.350000000000001</v>
      </c>
      <c r="C31">
        <v>1394.4</v>
      </c>
      <c r="D31">
        <v>0.71</v>
      </c>
    </row>
    <row r="32" spans="1:4" x14ac:dyDescent="0.3">
      <c r="A32">
        <v>1514.79</v>
      </c>
      <c r="B32">
        <v>20.5</v>
      </c>
      <c r="C32">
        <v>1417.07</v>
      </c>
      <c r="D32">
        <v>0.79</v>
      </c>
    </row>
    <row r="33" spans="1:4" x14ac:dyDescent="0.3">
      <c r="A33">
        <v>1254.6600000000001</v>
      </c>
      <c r="B33">
        <v>16.21</v>
      </c>
      <c r="C33">
        <v>1256.31</v>
      </c>
      <c r="D33">
        <v>0.73</v>
      </c>
    </row>
    <row r="34" spans="1:4" x14ac:dyDescent="0.3">
      <c r="A34">
        <v>1279.93</v>
      </c>
      <c r="B34">
        <v>22.26</v>
      </c>
      <c r="C34">
        <v>1339.9</v>
      </c>
      <c r="D34">
        <v>0.68</v>
      </c>
    </row>
    <row r="35" spans="1:4" x14ac:dyDescent="0.3">
      <c r="A35">
        <v>1246.43</v>
      </c>
      <c r="B35">
        <v>21.41</v>
      </c>
      <c r="C35">
        <v>1222.94</v>
      </c>
      <c r="D35">
        <v>0.7</v>
      </c>
    </row>
    <row r="36" spans="1:4" x14ac:dyDescent="0.3">
      <c r="A36">
        <v>1254.3</v>
      </c>
      <c r="B36">
        <v>14.58</v>
      </c>
      <c r="C36">
        <v>1227.2</v>
      </c>
      <c r="D36">
        <v>0.75</v>
      </c>
    </row>
    <row r="37" spans="1:4" x14ac:dyDescent="0.3">
      <c r="A37">
        <v>1215.57</v>
      </c>
      <c r="B37">
        <v>18.850000000000001</v>
      </c>
      <c r="C37">
        <v>1466.52</v>
      </c>
      <c r="D37">
        <v>0.96</v>
      </c>
    </row>
    <row r="38" spans="1:4" x14ac:dyDescent="0.3">
      <c r="A38">
        <v>1254.33</v>
      </c>
      <c r="B38">
        <v>15.22</v>
      </c>
      <c r="C38">
        <v>1263.42</v>
      </c>
      <c r="D38">
        <v>0.91</v>
      </c>
    </row>
    <row r="39" spans="1:4" x14ac:dyDescent="0.3">
      <c r="A39">
        <v>1365.99</v>
      </c>
      <c r="B39">
        <v>20.09</v>
      </c>
      <c r="C39">
        <v>1463.29</v>
      </c>
      <c r="D39">
        <v>0.91</v>
      </c>
    </row>
    <row r="40" spans="1:4" x14ac:dyDescent="0.3">
      <c r="A40">
        <v>1295.98</v>
      </c>
      <c r="B40">
        <v>15.05</v>
      </c>
      <c r="C40">
        <v>1119.04</v>
      </c>
      <c r="D40">
        <v>0.78</v>
      </c>
    </row>
    <row r="41" spans="1:4" x14ac:dyDescent="0.3">
      <c r="A41">
        <v>1146.08</v>
      </c>
      <c r="B41">
        <v>18.309999999999999</v>
      </c>
      <c r="C41">
        <v>1142.44</v>
      </c>
      <c r="D41">
        <v>0.74</v>
      </c>
    </row>
    <row r="42" spans="1:4" x14ac:dyDescent="0.3">
      <c r="A42">
        <v>1451.83</v>
      </c>
      <c r="B42">
        <v>22.2</v>
      </c>
      <c r="C42">
        <v>1573.11</v>
      </c>
      <c r="D42">
        <v>1.95</v>
      </c>
    </row>
    <row r="43" spans="1:4" x14ac:dyDescent="0.3">
      <c r="A43">
        <v>2518.3200000000002</v>
      </c>
      <c r="B43">
        <v>33.31</v>
      </c>
      <c r="C43">
        <v>1703.04</v>
      </c>
      <c r="D43">
        <v>0.73</v>
      </c>
    </row>
    <row r="44" spans="1:4" x14ac:dyDescent="0.3">
      <c r="A44">
        <v>1639.17</v>
      </c>
      <c r="B44">
        <v>17.71</v>
      </c>
      <c r="C44">
        <v>1500.26</v>
      </c>
      <c r="D44">
        <v>0.68</v>
      </c>
    </row>
    <row r="45" spans="1:4" x14ac:dyDescent="0.3">
      <c r="A45">
        <v>1760.45</v>
      </c>
      <c r="B45">
        <v>23.2</v>
      </c>
      <c r="C45">
        <v>1787.44</v>
      </c>
      <c r="D45">
        <v>0.84</v>
      </c>
    </row>
    <row r="46" spans="1:4" x14ac:dyDescent="0.3">
      <c r="A46">
        <v>1337.16</v>
      </c>
      <c r="B46">
        <v>17.3</v>
      </c>
      <c r="C46">
        <v>1369.94</v>
      </c>
      <c r="D46">
        <v>0.75</v>
      </c>
    </row>
    <row r="47" spans="1:4" x14ac:dyDescent="0.3">
      <c r="A47">
        <v>1311.4</v>
      </c>
      <c r="B47">
        <v>16.850000000000001</v>
      </c>
      <c r="C47">
        <v>1358.77</v>
      </c>
      <c r="D47">
        <v>0.77</v>
      </c>
    </row>
    <row r="48" spans="1:4" x14ac:dyDescent="0.3">
      <c r="A48">
        <v>1170.69</v>
      </c>
      <c r="B48">
        <v>16.54</v>
      </c>
      <c r="C48">
        <v>1347.97</v>
      </c>
      <c r="D48">
        <v>0.94</v>
      </c>
    </row>
    <row r="49" spans="1:4" x14ac:dyDescent="0.3">
      <c r="A49">
        <v>1276.9100000000001</v>
      </c>
      <c r="B49">
        <v>41.05</v>
      </c>
      <c r="C49">
        <v>1181.9000000000001</v>
      </c>
      <c r="D49">
        <v>0.83</v>
      </c>
    </row>
    <row r="50" spans="1:4" x14ac:dyDescent="0.3">
      <c r="A50">
        <v>1261.3599999999999</v>
      </c>
      <c r="B50">
        <v>15.71</v>
      </c>
      <c r="C50">
        <v>1173.9100000000001</v>
      </c>
      <c r="D50">
        <v>0.82</v>
      </c>
    </row>
    <row r="51" spans="1:4" x14ac:dyDescent="0.3">
      <c r="A51">
        <v>1236.5899999999999</v>
      </c>
      <c r="B51">
        <v>15.16</v>
      </c>
      <c r="C51">
        <v>1196.57</v>
      </c>
      <c r="D51">
        <v>0.84</v>
      </c>
    </row>
    <row r="52" spans="1:4" x14ac:dyDescent="0.3">
      <c r="A52">
        <v>1188.5999999999999</v>
      </c>
      <c r="B52">
        <v>17.13</v>
      </c>
      <c r="C52">
        <v>1283.1099999999999</v>
      </c>
      <c r="D52">
        <v>0.85</v>
      </c>
    </row>
    <row r="53" spans="1:4" x14ac:dyDescent="0.3">
      <c r="A53">
        <v>1234.5999999999999</v>
      </c>
      <c r="B53">
        <v>16.940000000000001</v>
      </c>
      <c r="C53">
        <v>1164.06</v>
      </c>
      <c r="D53">
        <v>0.87</v>
      </c>
    </row>
    <row r="54" spans="1:4" x14ac:dyDescent="0.3">
      <c r="A54">
        <v>1175.3399999999999</v>
      </c>
      <c r="B54">
        <v>22.4</v>
      </c>
      <c r="C54">
        <v>1235.98</v>
      </c>
      <c r="D54">
        <v>0.76</v>
      </c>
    </row>
    <row r="55" spans="1:4" x14ac:dyDescent="0.3">
      <c r="A55">
        <v>1259.25</v>
      </c>
      <c r="B55">
        <v>14.81</v>
      </c>
      <c r="C55">
        <v>1125.7</v>
      </c>
      <c r="D55">
        <v>0.83</v>
      </c>
    </row>
    <row r="56" spans="1:4" x14ac:dyDescent="0.3">
      <c r="A56">
        <v>1167.96</v>
      </c>
      <c r="B56">
        <v>14.84</v>
      </c>
      <c r="C56">
        <v>1095.8</v>
      </c>
      <c r="D56">
        <v>0.78</v>
      </c>
    </row>
    <row r="57" spans="1:4" x14ac:dyDescent="0.3">
      <c r="A57">
        <v>1296.55</v>
      </c>
      <c r="B57">
        <v>25.97</v>
      </c>
      <c r="C57">
        <v>1496.49</v>
      </c>
      <c r="D57">
        <v>0.78</v>
      </c>
    </row>
    <row r="58" spans="1:4" x14ac:dyDescent="0.3">
      <c r="A58">
        <v>1242.8399999999999</v>
      </c>
      <c r="B58">
        <v>18.04</v>
      </c>
      <c r="C58">
        <v>1245.18</v>
      </c>
      <c r="D58">
        <v>0.76</v>
      </c>
    </row>
    <row r="59" spans="1:4" x14ac:dyDescent="0.3">
      <c r="A59">
        <v>1210.17</v>
      </c>
      <c r="B59">
        <v>19.82</v>
      </c>
      <c r="C59">
        <v>1209.08</v>
      </c>
      <c r="D59">
        <v>0.76</v>
      </c>
    </row>
    <row r="60" spans="1:4" x14ac:dyDescent="0.3">
      <c r="A60">
        <v>1206.06</v>
      </c>
      <c r="B60">
        <v>15.16</v>
      </c>
      <c r="C60">
        <v>1211.54</v>
      </c>
      <c r="D60">
        <v>0.78</v>
      </c>
    </row>
    <row r="61" spans="1:4" x14ac:dyDescent="0.3">
      <c r="A61">
        <v>1250.3399999999999</v>
      </c>
      <c r="B61">
        <v>14.9</v>
      </c>
      <c r="C61">
        <v>1194.52</v>
      </c>
      <c r="D61">
        <v>0.73</v>
      </c>
    </row>
    <row r="62" spans="1:4" x14ac:dyDescent="0.3">
      <c r="A62">
        <v>1262.71</v>
      </c>
      <c r="B62">
        <v>16.190000000000001</v>
      </c>
      <c r="C62">
        <v>1390.48</v>
      </c>
      <c r="D62">
        <v>0.77</v>
      </c>
    </row>
    <row r="63" spans="1:4" x14ac:dyDescent="0.3">
      <c r="A63">
        <v>1195.44</v>
      </c>
      <c r="B63">
        <v>17.989999999999998</v>
      </c>
      <c r="C63">
        <v>1234.8599999999999</v>
      </c>
      <c r="D63">
        <v>0.74</v>
      </c>
    </row>
    <row r="64" spans="1:4" x14ac:dyDescent="0.3">
      <c r="A64">
        <v>1196.18</v>
      </c>
      <c r="B64">
        <v>20.02</v>
      </c>
      <c r="C64">
        <v>1159.71</v>
      </c>
      <c r="D64">
        <v>0.75</v>
      </c>
    </row>
    <row r="65" spans="1:4" x14ac:dyDescent="0.3">
      <c r="A65">
        <v>1163.96</v>
      </c>
      <c r="B65">
        <v>19.899999999999999</v>
      </c>
      <c r="C65">
        <v>1122.26</v>
      </c>
      <c r="D65">
        <v>0.7</v>
      </c>
    </row>
    <row r="66" spans="1:4" x14ac:dyDescent="0.3">
      <c r="A66">
        <v>1146.25</v>
      </c>
      <c r="B66">
        <v>14.92</v>
      </c>
      <c r="C66">
        <v>1109.1199999999999</v>
      </c>
      <c r="D66">
        <v>0.72</v>
      </c>
    </row>
    <row r="67" spans="1:4" x14ac:dyDescent="0.3">
      <c r="A67">
        <v>1280.5899999999999</v>
      </c>
      <c r="B67">
        <v>16.649999999999999</v>
      </c>
      <c r="C67">
        <v>1528.28</v>
      </c>
      <c r="D67">
        <v>0.83</v>
      </c>
    </row>
    <row r="68" spans="1:4" x14ac:dyDescent="0.3">
      <c r="A68">
        <v>1283.5899999999999</v>
      </c>
      <c r="B68">
        <v>19.170000000000002</v>
      </c>
      <c r="C68">
        <v>1217.83</v>
      </c>
      <c r="D68">
        <v>1.1200000000000001</v>
      </c>
    </row>
    <row r="69" spans="1:4" x14ac:dyDescent="0.3">
      <c r="A69">
        <v>1294.21</v>
      </c>
      <c r="B69">
        <v>15.24</v>
      </c>
      <c r="C69">
        <v>1207.03</v>
      </c>
      <c r="D69">
        <v>0.78</v>
      </c>
    </row>
    <row r="70" spans="1:4" x14ac:dyDescent="0.3">
      <c r="A70">
        <v>1252.51</v>
      </c>
      <c r="B70">
        <v>28.23</v>
      </c>
      <c r="C70">
        <v>1188.45</v>
      </c>
      <c r="D70">
        <v>0.76</v>
      </c>
    </row>
    <row r="71" spans="1:4" x14ac:dyDescent="0.3">
      <c r="A71">
        <v>1230.5999999999999</v>
      </c>
      <c r="B71">
        <v>15.33</v>
      </c>
      <c r="C71">
        <v>1306.77</v>
      </c>
      <c r="D71">
        <v>17.899999999999999</v>
      </c>
    </row>
    <row r="72" spans="1:4" x14ac:dyDescent="0.3">
      <c r="A72">
        <v>1202.19</v>
      </c>
      <c r="B72">
        <v>19.48</v>
      </c>
      <c r="C72">
        <v>1419.4</v>
      </c>
      <c r="D72">
        <v>0.87</v>
      </c>
    </row>
    <row r="73" spans="1:4" x14ac:dyDescent="0.3">
      <c r="A73">
        <v>1335.38</v>
      </c>
      <c r="B73">
        <v>17.14</v>
      </c>
      <c r="C73">
        <v>1250.9000000000001</v>
      </c>
      <c r="D73">
        <v>0.76</v>
      </c>
    </row>
    <row r="74" spans="1:4" x14ac:dyDescent="0.3">
      <c r="A74">
        <v>1275.17</v>
      </c>
      <c r="B74">
        <v>20.51</v>
      </c>
      <c r="C74">
        <v>1276.3900000000001</v>
      </c>
      <c r="D74">
        <v>0.89</v>
      </c>
    </row>
    <row r="75" spans="1:4" x14ac:dyDescent="0.3">
      <c r="A75">
        <v>1320.75</v>
      </c>
      <c r="B75">
        <v>20.96</v>
      </c>
      <c r="C75">
        <v>1294.06</v>
      </c>
      <c r="D75">
        <v>0.9</v>
      </c>
    </row>
    <row r="76" spans="1:4" x14ac:dyDescent="0.3">
      <c r="A76">
        <v>1289.18</v>
      </c>
      <c r="B76">
        <v>15.72</v>
      </c>
      <c r="C76">
        <v>1255.77</v>
      </c>
      <c r="D76">
        <v>0.76</v>
      </c>
    </row>
    <row r="77" spans="1:4" x14ac:dyDescent="0.3">
      <c r="A77">
        <v>1299.92</v>
      </c>
      <c r="B77">
        <v>20.8</v>
      </c>
      <c r="C77">
        <v>1484.98</v>
      </c>
      <c r="D77">
        <v>0.68</v>
      </c>
    </row>
    <row r="78" spans="1:4" x14ac:dyDescent="0.3">
      <c r="A78">
        <v>1261.8499999999999</v>
      </c>
      <c r="B78">
        <v>23.21</v>
      </c>
      <c r="C78">
        <v>1294.57</v>
      </c>
      <c r="D78">
        <v>0.69</v>
      </c>
    </row>
    <row r="79" spans="1:4" x14ac:dyDescent="0.3">
      <c r="A79">
        <v>1287.4000000000001</v>
      </c>
      <c r="B79">
        <v>19.329999999999998</v>
      </c>
      <c r="C79">
        <v>1280.77</v>
      </c>
      <c r="D79">
        <v>0.76</v>
      </c>
    </row>
    <row r="80" spans="1:4" x14ac:dyDescent="0.3">
      <c r="A80">
        <v>1302.8699999999999</v>
      </c>
      <c r="B80">
        <v>17.350000000000001</v>
      </c>
      <c r="C80">
        <v>1289.43</v>
      </c>
      <c r="D80">
        <v>0.82</v>
      </c>
    </row>
    <row r="81" spans="1:4" x14ac:dyDescent="0.3">
      <c r="A81">
        <v>1296.17</v>
      </c>
      <c r="B81">
        <v>18.37</v>
      </c>
      <c r="C81">
        <v>1289.03</v>
      </c>
      <c r="D81">
        <v>0.72</v>
      </c>
    </row>
    <row r="82" spans="1:4" x14ac:dyDescent="0.3">
      <c r="A82">
        <v>1297.71</v>
      </c>
      <c r="B82">
        <v>29.83</v>
      </c>
      <c r="C82">
        <v>1535.33</v>
      </c>
      <c r="D82">
        <v>0.91</v>
      </c>
    </row>
    <row r="83" spans="1:4" x14ac:dyDescent="0.3">
      <c r="A83">
        <v>1330.58</v>
      </c>
      <c r="B83">
        <v>18.47</v>
      </c>
      <c r="C83">
        <v>1254.06</v>
      </c>
      <c r="D83">
        <v>0.95</v>
      </c>
    </row>
    <row r="84" spans="1:4" x14ac:dyDescent="0.3">
      <c r="A84">
        <v>1240.54</v>
      </c>
      <c r="B84">
        <v>21.19</v>
      </c>
      <c r="C84">
        <v>1239.6500000000001</v>
      </c>
      <c r="D84">
        <v>0.91</v>
      </c>
    </row>
    <row r="85" spans="1:4" x14ac:dyDescent="0.3">
      <c r="A85">
        <v>1261.83</v>
      </c>
      <c r="B85">
        <v>23.04</v>
      </c>
      <c r="C85">
        <v>1244.8599999999999</v>
      </c>
      <c r="D85">
        <v>0.89</v>
      </c>
    </row>
    <row r="86" spans="1:4" x14ac:dyDescent="0.3">
      <c r="A86">
        <v>1241.22</v>
      </c>
      <c r="B86">
        <v>16.37</v>
      </c>
      <c r="C86">
        <v>1191.76</v>
      </c>
      <c r="D86">
        <v>1.24</v>
      </c>
    </row>
    <row r="87" spans="1:4" x14ac:dyDescent="0.3">
      <c r="A87">
        <v>1417.53</v>
      </c>
      <c r="B87">
        <v>20.87</v>
      </c>
      <c r="C87">
        <v>1493.14</v>
      </c>
      <c r="D87">
        <v>0.64</v>
      </c>
    </row>
    <row r="88" spans="1:4" x14ac:dyDescent="0.3">
      <c r="A88">
        <v>1170.9000000000001</v>
      </c>
      <c r="B88">
        <v>18.22</v>
      </c>
      <c r="C88">
        <v>1342.89</v>
      </c>
      <c r="D88">
        <v>0.65</v>
      </c>
    </row>
    <row r="89" spans="1:4" x14ac:dyDescent="0.3">
      <c r="A89">
        <v>1199.5999999999999</v>
      </c>
      <c r="B89">
        <v>16.37</v>
      </c>
      <c r="C89">
        <v>1293.76</v>
      </c>
      <c r="D89">
        <v>0.72</v>
      </c>
    </row>
    <row r="90" spans="1:4" x14ac:dyDescent="0.3">
      <c r="A90">
        <v>1293.08</v>
      </c>
      <c r="B90">
        <v>16.920000000000002</v>
      </c>
      <c r="C90">
        <v>1191.08</v>
      </c>
      <c r="D90">
        <v>0.68</v>
      </c>
    </row>
    <row r="91" spans="1:4" x14ac:dyDescent="0.3">
      <c r="A91">
        <v>1153.22</v>
      </c>
      <c r="B91">
        <v>16.28</v>
      </c>
      <c r="C91">
        <v>1223.69</v>
      </c>
      <c r="D91">
        <v>1.32</v>
      </c>
    </row>
    <row r="92" spans="1:4" x14ac:dyDescent="0.3">
      <c r="A92">
        <v>1190.54</v>
      </c>
      <c r="B92">
        <v>19.27</v>
      </c>
      <c r="C92">
        <v>1333.9</v>
      </c>
      <c r="D92">
        <v>0.77</v>
      </c>
    </row>
    <row r="93" spans="1:4" x14ac:dyDescent="0.3">
      <c r="A93">
        <v>1168.95</v>
      </c>
      <c r="B93">
        <v>22.07</v>
      </c>
      <c r="C93">
        <v>1192.6600000000001</v>
      </c>
      <c r="D93">
        <v>0.74</v>
      </c>
    </row>
    <row r="94" spans="1:4" x14ac:dyDescent="0.3">
      <c r="A94">
        <v>1175.25</v>
      </c>
      <c r="B94">
        <v>16.64</v>
      </c>
      <c r="C94">
        <v>1087.81</v>
      </c>
      <c r="D94">
        <v>0.69</v>
      </c>
    </row>
    <row r="95" spans="1:4" x14ac:dyDescent="0.3">
      <c r="A95">
        <v>1168</v>
      </c>
      <c r="B95">
        <v>15.02</v>
      </c>
      <c r="C95">
        <v>1137.1099999999999</v>
      </c>
      <c r="D95">
        <v>0.69</v>
      </c>
    </row>
    <row r="96" spans="1:4" x14ac:dyDescent="0.3">
      <c r="A96">
        <v>1146.08</v>
      </c>
      <c r="B96">
        <v>14.76</v>
      </c>
      <c r="C96">
        <v>1197.92</v>
      </c>
      <c r="D96">
        <v>0.75</v>
      </c>
    </row>
    <row r="97" spans="1:4" x14ac:dyDescent="0.3">
      <c r="A97">
        <v>1447.61</v>
      </c>
      <c r="B97">
        <v>22.49</v>
      </c>
      <c r="C97">
        <v>1360.3</v>
      </c>
      <c r="D97">
        <v>0.68</v>
      </c>
    </row>
    <row r="98" spans="1:4" x14ac:dyDescent="0.3">
      <c r="A98">
        <v>1275.51</v>
      </c>
      <c r="B98">
        <v>19.97</v>
      </c>
      <c r="C98">
        <v>1285.1500000000001</v>
      </c>
      <c r="D98">
        <v>0.76</v>
      </c>
    </row>
    <row r="99" spans="1:4" x14ac:dyDescent="0.3">
      <c r="A99">
        <v>1386.31</v>
      </c>
      <c r="B99">
        <v>16.72</v>
      </c>
      <c r="C99">
        <v>1422.59</v>
      </c>
      <c r="D99">
        <v>0.73</v>
      </c>
    </row>
    <row r="100" spans="1:4" x14ac:dyDescent="0.3">
      <c r="A100">
        <v>1522.18</v>
      </c>
      <c r="B100">
        <v>17.09</v>
      </c>
      <c r="C100">
        <v>1348.21</v>
      </c>
      <c r="D100">
        <v>0.65</v>
      </c>
    </row>
    <row r="101" spans="1:4" x14ac:dyDescent="0.3">
      <c r="A101">
        <v>1305.56</v>
      </c>
      <c r="B101">
        <v>15.56</v>
      </c>
      <c r="C101">
        <v>1240.9000000000001</v>
      </c>
      <c r="D101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5D7A-2ABB-4A4D-A20D-8B520D103A6D}">
  <dimension ref="A1:M101"/>
  <sheetViews>
    <sheetView workbookViewId="0">
      <selection activeCell="F19" sqref="F19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18</v>
      </c>
      <c r="B1" t="s">
        <v>19</v>
      </c>
      <c r="C1" t="s">
        <v>20</v>
      </c>
      <c r="D1" t="s">
        <v>21</v>
      </c>
      <c r="I1" t="s">
        <v>18</v>
      </c>
      <c r="J1" t="s">
        <v>19</v>
      </c>
      <c r="K1" t="s">
        <v>20</v>
      </c>
      <c r="L1" t="s">
        <v>21</v>
      </c>
    </row>
    <row r="2" spans="1:13" x14ac:dyDescent="0.3">
      <c r="A2">
        <v>1566.74</v>
      </c>
      <c r="B2">
        <v>21.39</v>
      </c>
      <c r="C2">
        <v>1888.15</v>
      </c>
      <c r="D2">
        <v>0.68</v>
      </c>
      <c r="H2" t="s">
        <v>17</v>
      </c>
      <c r="I2" s="4">
        <f>AVERAGE(A$2:A$101)</f>
        <v>1550.6812</v>
      </c>
      <c r="J2" s="4">
        <f>AVERAGE(B$2:B$101)</f>
        <v>21.89820000000001</v>
      </c>
      <c r="K2" s="4">
        <f>AVERAGE(C$2:C$101)</f>
        <v>1539.0365999999997</v>
      </c>
      <c r="L2" s="4">
        <f t="shared" ref="L2" si="0">AVERAGE(D$2:D$101)</f>
        <v>1.6500999999999992</v>
      </c>
      <c r="M2" s="4"/>
    </row>
    <row r="3" spans="1:13" x14ac:dyDescent="0.3">
      <c r="A3">
        <v>1726.86</v>
      </c>
      <c r="B3">
        <v>44.72</v>
      </c>
      <c r="C3">
        <v>1754.25</v>
      </c>
      <c r="D3">
        <v>92.12</v>
      </c>
      <c r="H3" t="s">
        <v>14</v>
      </c>
      <c r="I3" s="4">
        <f>MEDIAN(A$2:A$101)</f>
        <v>1494.6949999999999</v>
      </c>
      <c r="J3" s="4">
        <f t="shared" ref="J3:L3" si="1">MEDIAN(B$2:B$101)</f>
        <v>20.16</v>
      </c>
      <c r="K3" s="4">
        <f t="shared" si="1"/>
        <v>1505.38</v>
      </c>
      <c r="L3" s="4">
        <f t="shared" si="1"/>
        <v>0.68</v>
      </c>
      <c r="M3" s="4"/>
    </row>
    <row r="4" spans="1:13" x14ac:dyDescent="0.3">
      <c r="A4">
        <v>1795.3</v>
      </c>
      <c r="B4">
        <v>28.59</v>
      </c>
      <c r="C4">
        <v>1859.59</v>
      </c>
      <c r="D4">
        <v>0.68</v>
      </c>
      <c r="H4" t="s">
        <v>15</v>
      </c>
      <c r="I4" s="4">
        <f>_xlfn.STDEV.S(A$2:A$101)</f>
        <v>190.8259381247012</v>
      </c>
      <c r="J4" s="4">
        <f t="shared" ref="J4:L4" si="2">_xlfn.STDEV.S(B$2:B$101)</f>
        <v>6.2904438313968791</v>
      </c>
      <c r="K4" s="4">
        <f t="shared" si="2"/>
        <v>174.26485763488307</v>
      </c>
      <c r="L4" s="4">
        <f t="shared" si="2"/>
        <v>9.1410120889374848</v>
      </c>
      <c r="M4" s="4"/>
    </row>
    <row r="5" spans="1:13" x14ac:dyDescent="0.3">
      <c r="A5">
        <v>1747.86</v>
      </c>
      <c r="B5">
        <v>21.52</v>
      </c>
      <c r="C5">
        <v>1920.86</v>
      </c>
      <c r="D5">
        <v>0.69</v>
      </c>
    </row>
    <row r="6" spans="1:13" x14ac:dyDescent="0.3">
      <c r="A6">
        <v>1625.63</v>
      </c>
      <c r="B6">
        <v>17.63</v>
      </c>
      <c r="C6">
        <v>1604.09</v>
      </c>
      <c r="D6">
        <v>0.62</v>
      </c>
    </row>
    <row r="7" spans="1:13" x14ac:dyDescent="0.3">
      <c r="A7">
        <v>1579.25</v>
      </c>
      <c r="B7">
        <v>35.25</v>
      </c>
      <c r="C7">
        <v>1709.36</v>
      </c>
      <c r="D7">
        <v>0.64</v>
      </c>
    </row>
    <row r="8" spans="1:13" x14ac:dyDescent="0.3">
      <c r="A8">
        <v>1625.98</v>
      </c>
      <c r="B8">
        <v>22.4</v>
      </c>
      <c r="C8">
        <v>1511.05</v>
      </c>
      <c r="D8">
        <v>0.72</v>
      </c>
    </row>
    <row r="9" spans="1:13" x14ac:dyDescent="0.3">
      <c r="A9">
        <v>1606.1</v>
      </c>
      <c r="B9">
        <v>28.24</v>
      </c>
      <c r="C9">
        <v>1541.94</v>
      </c>
      <c r="D9">
        <v>0.73</v>
      </c>
    </row>
    <row r="10" spans="1:13" x14ac:dyDescent="0.3">
      <c r="A10">
        <v>1578.26</v>
      </c>
      <c r="B10">
        <v>16.899999999999999</v>
      </c>
      <c r="C10">
        <v>1684.79</v>
      </c>
      <c r="D10">
        <v>0.8</v>
      </c>
    </row>
    <row r="11" spans="1:13" x14ac:dyDescent="0.3">
      <c r="A11">
        <v>1864.59</v>
      </c>
      <c r="B11">
        <v>23.61</v>
      </c>
      <c r="C11">
        <v>1573.46</v>
      </c>
      <c r="D11">
        <v>0.64</v>
      </c>
    </row>
    <row r="12" spans="1:13" x14ac:dyDescent="0.3">
      <c r="A12">
        <v>1490.77</v>
      </c>
      <c r="B12">
        <v>21.57</v>
      </c>
      <c r="C12">
        <v>1688.38</v>
      </c>
      <c r="D12">
        <v>0.65</v>
      </c>
    </row>
    <row r="13" spans="1:13" x14ac:dyDescent="0.3">
      <c r="A13">
        <v>1350.37</v>
      </c>
      <c r="B13">
        <v>15.9</v>
      </c>
      <c r="C13">
        <v>1435.53</v>
      </c>
      <c r="D13">
        <v>0.62</v>
      </c>
    </row>
    <row r="14" spans="1:13" x14ac:dyDescent="0.3">
      <c r="A14">
        <v>1498.87</v>
      </c>
      <c r="B14">
        <v>17.989999999999998</v>
      </c>
      <c r="C14">
        <v>1431.93</v>
      </c>
      <c r="D14">
        <v>0.65</v>
      </c>
    </row>
    <row r="15" spans="1:13" x14ac:dyDescent="0.3">
      <c r="A15">
        <v>1421.39</v>
      </c>
      <c r="B15">
        <v>18.11</v>
      </c>
      <c r="C15">
        <v>1620.78</v>
      </c>
      <c r="D15">
        <v>0.66</v>
      </c>
    </row>
    <row r="16" spans="1:13" x14ac:dyDescent="0.3">
      <c r="A16">
        <v>1485.57</v>
      </c>
      <c r="B16">
        <v>27.9</v>
      </c>
      <c r="C16">
        <v>1497.56</v>
      </c>
      <c r="D16">
        <v>0.67</v>
      </c>
    </row>
    <row r="17" spans="1:4" x14ac:dyDescent="0.3">
      <c r="A17">
        <v>1487.91</v>
      </c>
      <c r="B17">
        <v>18.05</v>
      </c>
      <c r="C17">
        <v>1527.65</v>
      </c>
      <c r="D17">
        <v>0.91</v>
      </c>
    </row>
    <row r="18" spans="1:4" x14ac:dyDescent="0.3">
      <c r="A18">
        <v>1442.68</v>
      </c>
      <c r="B18">
        <v>21.35</v>
      </c>
      <c r="C18">
        <v>1431.87</v>
      </c>
      <c r="D18">
        <v>0.64</v>
      </c>
    </row>
    <row r="19" spans="1:4" x14ac:dyDescent="0.3">
      <c r="A19">
        <v>1403.54</v>
      </c>
      <c r="B19">
        <v>27.41</v>
      </c>
      <c r="C19">
        <v>1312.29</v>
      </c>
      <c r="D19">
        <v>0.63</v>
      </c>
    </row>
    <row r="20" spans="1:4" x14ac:dyDescent="0.3">
      <c r="A20">
        <v>1410.02</v>
      </c>
      <c r="B20">
        <v>20.98</v>
      </c>
      <c r="C20">
        <v>1289.81</v>
      </c>
      <c r="D20">
        <v>0.6</v>
      </c>
    </row>
    <row r="21" spans="1:4" x14ac:dyDescent="0.3">
      <c r="A21">
        <v>1483.44</v>
      </c>
      <c r="B21">
        <v>29.53</v>
      </c>
      <c r="C21">
        <v>1549.09</v>
      </c>
      <c r="D21">
        <v>0.77</v>
      </c>
    </row>
    <row r="22" spans="1:4" x14ac:dyDescent="0.3">
      <c r="A22">
        <v>1479.6</v>
      </c>
      <c r="B22">
        <v>22.84</v>
      </c>
      <c r="C22">
        <v>1683.25</v>
      </c>
      <c r="D22">
        <v>0.88</v>
      </c>
    </row>
    <row r="23" spans="1:4" x14ac:dyDescent="0.3">
      <c r="A23">
        <v>1485.34</v>
      </c>
      <c r="B23">
        <v>20.85</v>
      </c>
      <c r="C23">
        <v>1375.82</v>
      </c>
      <c r="D23">
        <v>0.61</v>
      </c>
    </row>
    <row r="24" spans="1:4" x14ac:dyDescent="0.3">
      <c r="A24">
        <v>1497.68</v>
      </c>
      <c r="B24">
        <v>37.67</v>
      </c>
      <c r="C24">
        <v>1508.82</v>
      </c>
      <c r="D24">
        <v>0.65</v>
      </c>
    </row>
    <row r="25" spans="1:4" x14ac:dyDescent="0.3">
      <c r="A25">
        <v>1441.85</v>
      </c>
      <c r="B25">
        <v>21.41</v>
      </c>
      <c r="C25">
        <v>1432.66</v>
      </c>
      <c r="D25">
        <v>0.81</v>
      </c>
    </row>
    <row r="26" spans="1:4" x14ac:dyDescent="0.3">
      <c r="A26">
        <v>1503.8</v>
      </c>
      <c r="B26">
        <v>21.67</v>
      </c>
      <c r="C26">
        <v>1456.35</v>
      </c>
      <c r="D26">
        <v>0.69</v>
      </c>
    </row>
    <row r="27" spans="1:4" x14ac:dyDescent="0.3">
      <c r="A27">
        <v>1379.01</v>
      </c>
      <c r="B27">
        <v>22.28</v>
      </c>
      <c r="C27">
        <v>1529.86</v>
      </c>
      <c r="D27">
        <v>0.92</v>
      </c>
    </row>
    <row r="28" spans="1:4" x14ac:dyDescent="0.3">
      <c r="A28">
        <v>1496.27</v>
      </c>
      <c r="B28">
        <v>34.28</v>
      </c>
      <c r="C28">
        <v>1381.81</v>
      </c>
      <c r="D28">
        <v>0.86</v>
      </c>
    </row>
    <row r="29" spans="1:4" x14ac:dyDescent="0.3">
      <c r="A29">
        <v>1321.92</v>
      </c>
      <c r="B29">
        <v>17.68</v>
      </c>
      <c r="C29">
        <v>1385.59</v>
      </c>
      <c r="D29">
        <v>0.59</v>
      </c>
    </row>
    <row r="30" spans="1:4" x14ac:dyDescent="0.3">
      <c r="A30">
        <v>1519.57</v>
      </c>
      <c r="B30">
        <v>24.59</v>
      </c>
      <c r="C30">
        <v>1306.6400000000001</v>
      </c>
      <c r="D30">
        <v>0.84</v>
      </c>
    </row>
    <row r="31" spans="1:4" x14ac:dyDescent="0.3">
      <c r="A31">
        <v>1351.5</v>
      </c>
      <c r="B31">
        <v>17.34</v>
      </c>
      <c r="C31">
        <v>1342.96</v>
      </c>
      <c r="D31">
        <v>0.63</v>
      </c>
    </row>
    <row r="32" spans="1:4" x14ac:dyDescent="0.3">
      <c r="A32">
        <v>1652.25</v>
      </c>
      <c r="B32">
        <v>26.35</v>
      </c>
      <c r="C32">
        <v>1887.29</v>
      </c>
      <c r="D32">
        <v>0.71</v>
      </c>
    </row>
    <row r="33" spans="1:4" x14ac:dyDescent="0.3">
      <c r="A33">
        <v>1480.68</v>
      </c>
      <c r="B33">
        <v>28.94</v>
      </c>
      <c r="C33">
        <v>1426.34</v>
      </c>
      <c r="D33">
        <v>0.66</v>
      </c>
    </row>
    <row r="34" spans="1:4" x14ac:dyDescent="0.3">
      <c r="A34">
        <v>1415.26</v>
      </c>
      <c r="B34">
        <v>17.920000000000002</v>
      </c>
      <c r="C34">
        <v>1422.36</v>
      </c>
      <c r="D34">
        <v>0.74</v>
      </c>
    </row>
    <row r="35" spans="1:4" x14ac:dyDescent="0.3">
      <c r="A35">
        <v>1503.83</v>
      </c>
      <c r="B35">
        <v>20.84</v>
      </c>
      <c r="C35">
        <v>1519.8</v>
      </c>
      <c r="D35">
        <v>0.66</v>
      </c>
    </row>
    <row r="36" spans="1:4" x14ac:dyDescent="0.3">
      <c r="A36">
        <v>1636.87</v>
      </c>
      <c r="B36">
        <v>17.36</v>
      </c>
      <c r="C36">
        <v>1589.53</v>
      </c>
      <c r="D36">
        <v>0.67</v>
      </c>
    </row>
    <row r="37" spans="1:4" x14ac:dyDescent="0.3">
      <c r="A37">
        <v>1532.91</v>
      </c>
      <c r="B37">
        <v>17.2</v>
      </c>
      <c r="C37">
        <v>1649.07</v>
      </c>
      <c r="D37">
        <v>0.74</v>
      </c>
    </row>
    <row r="38" spans="1:4" x14ac:dyDescent="0.3">
      <c r="A38">
        <v>1414.87</v>
      </c>
      <c r="B38">
        <v>20.96</v>
      </c>
      <c r="C38">
        <v>1404.51</v>
      </c>
      <c r="D38">
        <v>0.6</v>
      </c>
    </row>
    <row r="39" spans="1:4" x14ac:dyDescent="0.3">
      <c r="A39">
        <v>1443.62</v>
      </c>
      <c r="B39">
        <v>37.35</v>
      </c>
      <c r="C39">
        <v>1660.17</v>
      </c>
      <c r="D39">
        <v>0.83</v>
      </c>
    </row>
    <row r="40" spans="1:4" x14ac:dyDescent="0.3">
      <c r="A40">
        <v>1385.8</v>
      </c>
      <c r="B40">
        <v>17.02</v>
      </c>
      <c r="C40">
        <v>1403.81</v>
      </c>
      <c r="D40">
        <v>0.76</v>
      </c>
    </row>
    <row r="41" spans="1:4" x14ac:dyDescent="0.3">
      <c r="A41">
        <v>1500.97</v>
      </c>
      <c r="B41">
        <v>21.28</v>
      </c>
      <c r="C41">
        <v>1434.77</v>
      </c>
      <c r="D41">
        <v>0.6</v>
      </c>
    </row>
    <row r="42" spans="1:4" x14ac:dyDescent="0.3">
      <c r="A42">
        <v>1834.46</v>
      </c>
      <c r="B42">
        <v>23.28</v>
      </c>
      <c r="C42">
        <v>1683.77</v>
      </c>
      <c r="D42">
        <v>0.68</v>
      </c>
    </row>
    <row r="43" spans="1:4" x14ac:dyDescent="0.3">
      <c r="A43">
        <v>1704.73</v>
      </c>
      <c r="B43">
        <v>16.940000000000001</v>
      </c>
      <c r="C43">
        <v>1528.28</v>
      </c>
      <c r="D43">
        <v>0.76</v>
      </c>
    </row>
    <row r="44" spans="1:4" x14ac:dyDescent="0.3">
      <c r="A44">
        <v>1493.12</v>
      </c>
      <c r="B44">
        <v>18.43</v>
      </c>
      <c r="C44">
        <v>1420.6</v>
      </c>
      <c r="D44">
        <v>0.68</v>
      </c>
    </row>
    <row r="45" spans="1:4" x14ac:dyDescent="0.3">
      <c r="A45">
        <v>1575.22</v>
      </c>
      <c r="B45">
        <v>21.73</v>
      </c>
      <c r="C45">
        <v>1420.1</v>
      </c>
      <c r="D45">
        <v>0.76</v>
      </c>
    </row>
    <row r="46" spans="1:4" x14ac:dyDescent="0.3">
      <c r="A46">
        <v>1401.61</v>
      </c>
      <c r="B46">
        <v>22.32</v>
      </c>
      <c r="C46">
        <v>1399.62</v>
      </c>
      <c r="D46">
        <v>0.71</v>
      </c>
    </row>
    <row r="47" spans="1:4" x14ac:dyDescent="0.3">
      <c r="A47">
        <v>2008.97</v>
      </c>
      <c r="B47">
        <v>31.78</v>
      </c>
      <c r="C47">
        <v>2289.37</v>
      </c>
      <c r="D47">
        <v>0.78</v>
      </c>
    </row>
    <row r="48" spans="1:4" x14ac:dyDescent="0.3">
      <c r="A48">
        <v>2569.06</v>
      </c>
      <c r="B48">
        <v>36.5</v>
      </c>
      <c r="C48">
        <v>2077.2399999999998</v>
      </c>
      <c r="D48">
        <v>0.7</v>
      </c>
    </row>
    <row r="49" spans="1:4" x14ac:dyDescent="0.3">
      <c r="A49">
        <v>2232.29</v>
      </c>
      <c r="B49">
        <v>38.729999999999997</v>
      </c>
      <c r="C49">
        <v>1967.1</v>
      </c>
      <c r="D49">
        <v>2.0299999999999998</v>
      </c>
    </row>
    <row r="50" spans="1:4" x14ac:dyDescent="0.3">
      <c r="A50">
        <v>2073.0700000000002</v>
      </c>
      <c r="B50">
        <v>16.399999999999999</v>
      </c>
      <c r="C50">
        <v>1701.62</v>
      </c>
      <c r="D50">
        <v>0.71</v>
      </c>
    </row>
    <row r="51" spans="1:4" x14ac:dyDescent="0.3">
      <c r="A51">
        <v>1849.05</v>
      </c>
      <c r="B51">
        <v>19.95</v>
      </c>
      <c r="C51">
        <v>1795.18</v>
      </c>
      <c r="D51">
        <v>0.67</v>
      </c>
    </row>
    <row r="52" spans="1:4" x14ac:dyDescent="0.3">
      <c r="A52">
        <v>1400.03</v>
      </c>
      <c r="B52">
        <v>17.489999999999998</v>
      </c>
      <c r="C52">
        <v>1435.34</v>
      </c>
      <c r="D52">
        <v>2.21</v>
      </c>
    </row>
    <row r="53" spans="1:4" x14ac:dyDescent="0.3">
      <c r="A53">
        <v>1407.55</v>
      </c>
      <c r="B53">
        <v>19.39</v>
      </c>
      <c r="C53">
        <v>1425.13</v>
      </c>
      <c r="D53">
        <v>0.8</v>
      </c>
    </row>
    <row r="54" spans="1:4" x14ac:dyDescent="0.3">
      <c r="A54">
        <v>1441.98</v>
      </c>
      <c r="B54">
        <v>15.91</v>
      </c>
      <c r="C54">
        <v>1576.85</v>
      </c>
      <c r="D54">
        <v>1.01</v>
      </c>
    </row>
    <row r="55" spans="1:4" x14ac:dyDescent="0.3">
      <c r="A55">
        <v>1414.34</v>
      </c>
      <c r="B55">
        <v>20.52</v>
      </c>
      <c r="C55">
        <v>1383.27</v>
      </c>
      <c r="D55">
        <v>0.87</v>
      </c>
    </row>
    <row r="56" spans="1:4" x14ac:dyDescent="0.3">
      <c r="A56">
        <v>1344.53</v>
      </c>
      <c r="B56">
        <v>16.98</v>
      </c>
      <c r="C56">
        <v>1406.84</v>
      </c>
      <c r="D56">
        <v>0.79</v>
      </c>
    </row>
    <row r="57" spans="1:4" x14ac:dyDescent="0.3">
      <c r="A57">
        <v>1602.34</v>
      </c>
      <c r="B57">
        <v>20.37</v>
      </c>
      <c r="C57">
        <v>1675.31</v>
      </c>
      <c r="D57">
        <v>0.65</v>
      </c>
    </row>
    <row r="58" spans="1:4" x14ac:dyDescent="0.3">
      <c r="A58">
        <v>1544.79</v>
      </c>
      <c r="B58">
        <v>18.170000000000002</v>
      </c>
      <c r="C58">
        <v>1482.45</v>
      </c>
      <c r="D58">
        <v>0.65</v>
      </c>
    </row>
    <row r="59" spans="1:4" x14ac:dyDescent="0.3">
      <c r="A59">
        <v>1534.12</v>
      </c>
      <c r="B59">
        <v>18.75</v>
      </c>
      <c r="C59">
        <v>1457.58</v>
      </c>
      <c r="D59">
        <v>0.72</v>
      </c>
    </row>
    <row r="60" spans="1:4" x14ac:dyDescent="0.3">
      <c r="A60">
        <v>1712.13</v>
      </c>
      <c r="B60">
        <v>23.45</v>
      </c>
      <c r="C60">
        <v>1449.33</v>
      </c>
      <c r="D60">
        <v>0.7</v>
      </c>
    </row>
    <row r="61" spans="1:4" x14ac:dyDescent="0.3">
      <c r="A61">
        <v>1374.66</v>
      </c>
      <c r="B61">
        <v>23.32</v>
      </c>
      <c r="C61">
        <v>1407.13</v>
      </c>
      <c r="D61">
        <v>0.65</v>
      </c>
    </row>
    <row r="62" spans="1:4" x14ac:dyDescent="0.3">
      <c r="A62">
        <v>1481.56</v>
      </c>
      <c r="B62">
        <v>27.61</v>
      </c>
      <c r="C62">
        <v>1519.93</v>
      </c>
      <c r="D62">
        <v>0.8</v>
      </c>
    </row>
    <row r="63" spans="1:4" x14ac:dyDescent="0.3">
      <c r="A63">
        <v>1358.22</v>
      </c>
      <c r="B63">
        <v>19.75</v>
      </c>
      <c r="C63">
        <v>1305.3699999999999</v>
      </c>
      <c r="D63">
        <v>0.66</v>
      </c>
    </row>
    <row r="64" spans="1:4" x14ac:dyDescent="0.3">
      <c r="A64">
        <v>1448.45</v>
      </c>
      <c r="B64">
        <v>19.8</v>
      </c>
      <c r="C64">
        <v>1416.5</v>
      </c>
      <c r="D64">
        <v>0.66</v>
      </c>
    </row>
    <row r="65" spans="1:13" x14ac:dyDescent="0.3">
      <c r="A65">
        <v>1464.22</v>
      </c>
      <c r="B65">
        <v>16.440000000000001</v>
      </c>
      <c r="C65">
        <v>1359.47</v>
      </c>
      <c r="D65">
        <v>0.76</v>
      </c>
    </row>
    <row r="66" spans="1:13" x14ac:dyDescent="0.3">
      <c r="A66">
        <v>1376</v>
      </c>
      <c r="B66">
        <v>16.809999999999999</v>
      </c>
      <c r="C66">
        <v>1296.0899999999999</v>
      </c>
      <c r="D66">
        <v>0.72</v>
      </c>
    </row>
    <row r="67" spans="1:13" x14ac:dyDescent="0.3">
      <c r="A67">
        <v>1463.58</v>
      </c>
      <c r="B67">
        <v>17.48</v>
      </c>
      <c r="C67">
        <v>1504.03</v>
      </c>
      <c r="D67">
        <v>0.6</v>
      </c>
    </row>
    <row r="68" spans="1:13" x14ac:dyDescent="0.3">
      <c r="A68">
        <v>1344.86</v>
      </c>
      <c r="B68">
        <v>32.619999999999997</v>
      </c>
      <c r="C68">
        <v>1420.11</v>
      </c>
      <c r="D68">
        <v>0.66</v>
      </c>
    </row>
    <row r="69" spans="1:13" x14ac:dyDescent="0.3">
      <c r="A69">
        <v>1565.39</v>
      </c>
      <c r="B69">
        <v>16.399999999999999</v>
      </c>
      <c r="C69">
        <v>1379.79</v>
      </c>
      <c r="D69">
        <v>0.76</v>
      </c>
    </row>
    <row r="70" spans="1:13" x14ac:dyDescent="0.3">
      <c r="A70">
        <v>1517.37</v>
      </c>
      <c r="B70">
        <v>19.12</v>
      </c>
      <c r="C70">
        <v>1477.59</v>
      </c>
      <c r="D70">
        <v>0.66</v>
      </c>
    </row>
    <row r="71" spans="1:13" x14ac:dyDescent="0.3">
      <c r="A71">
        <v>1395.91</v>
      </c>
      <c r="B71">
        <v>15.89</v>
      </c>
      <c r="C71">
        <v>1459.34</v>
      </c>
      <c r="D71">
        <v>0.66</v>
      </c>
    </row>
    <row r="72" spans="1:13" x14ac:dyDescent="0.3">
      <c r="A72">
        <v>1447.64</v>
      </c>
      <c r="B72">
        <v>17.920000000000002</v>
      </c>
      <c r="C72">
        <v>1647.99</v>
      </c>
      <c r="D72">
        <v>0.7</v>
      </c>
    </row>
    <row r="73" spans="1:13" x14ac:dyDescent="0.3">
      <c r="A73">
        <v>1482.61</v>
      </c>
      <c r="B73">
        <v>22.27</v>
      </c>
      <c r="C73">
        <v>1560.91</v>
      </c>
      <c r="D73">
        <v>0.85</v>
      </c>
    </row>
    <row r="74" spans="1:13" x14ac:dyDescent="0.3">
      <c r="A74">
        <v>1603.41</v>
      </c>
      <c r="B74">
        <v>16.95</v>
      </c>
      <c r="C74">
        <v>1665.31</v>
      </c>
      <c r="D74">
        <v>0.69</v>
      </c>
    </row>
    <row r="75" spans="1:13" x14ac:dyDescent="0.3">
      <c r="A75">
        <v>1671.13</v>
      </c>
      <c r="B75">
        <v>18.940000000000001</v>
      </c>
      <c r="C75">
        <v>1657.84</v>
      </c>
      <c r="D75">
        <v>1.1499999999999999</v>
      </c>
    </row>
    <row r="76" spans="1:13" x14ac:dyDescent="0.3">
      <c r="A76">
        <v>1452.39</v>
      </c>
      <c r="B76">
        <v>16.39</v>
      </c>
      <c r="C76">
        <v>1571.84</v>
      </c>
      <c r="D76">
        <v>0.63</v>
      </c>
    </row>
    <row r="77" spans="1:13" x14ac:dyDescent="0.3">
      <c r="A77">
        <v>1502.14</v>
      </c>
      <c r="B77">
        <v>23.14</v>
      </c>
      <c r="C77">
        <v>1668.45</v>
      </c>
      <c r="D77">
        <v>0.77</v>
      </c>
    </row>
    <row r="78" spans="1:13" x14ac:dyDescent="0.3">
      <c r="A78">
        <v>1516.42</v>
      </c>
      <c r="B78">
        <v>28.25</v>
      </c>
      <c r="C78">
        <v>1656.3</v>
      </c>
      <c r="D78">
        <v>0.69</v>
      </c>
    </row>
    <row r="79" spans="1:13" x14ac:dyDescent="0.3">
      <c r="A79">
        <v>1471.19</v>
      </c>
      <c r="B79">
        <v>16.52</v>
      </c>
      <c r="C79">
        <v>1467.43</v>
      </c>
      <c r="D79">
        <v>0.73</v>
      </c>
    </row>
    <row r="80" spans="1:13" x14ac:dyDescent="0.3">
      <c r="A80">
        <v>1557.4</v>
      </c>
      <c r="B80">
        <v>23.75</v>
      </c>
      <c r="C80">
        <v>1460.95</v>
      </c>
      <c r="D80">
        <v>0.75</v>
      </c>
      <c r="I80" s="4"/>
      <c r="J80" s="4"/>
      <c r="K80" s="4"/>
      <c r="L80" s="4"/>
      <c r="M80" s="4"/>
    </row>
    <row r="81" spans="1:13" x14ac:dyDescent="0.3">
      <c r="A81">
        <v>1576.94</v>
      </c>
      <c r="B81">
        <v>16.38</v>
      </c>
      <c r="C81">
        <v>1494.17</v>
      </c>
      <c r="D81">
        <v>0.73</v>
      </c>
      <c r="I81" s="4"/>
      <c r="J81" s="4"/>
      <c r="K81" s="4"/>
      <c r="L81" s="4"/>
      <c r="M81" s="4"/>
    </row>
    <row r="82" spans="1:13" x14ac:dyDescent="0.3">
      <c r="A82">
        <v>1616.52</v>
      </c>
      <c r="B82">
        <v>16.350000000000001</v>
      </c>
      <c r="C82">
        <v>1666.71</v>
      </c>
      <c r="D82">
        <v>0.63</v>
      </c>
      <c r="I82" s="4"/>
      <c r="J82" s="4"/>
      <c r="K82" s="4"/>
      <c r="L82" s="4"/>
      <c r="M82" s="4"/>
    </row>
    <row r="83" spans="1:13" x14ac:dyDescent="0.3">
      <c r="A83">
        <v>1831.51</v>
      </c>
      <c r="B83">
        <v>20.85</v>
      </c>
      <c r="C83">
        <v>1566.5</v>
      </c>
      <c r="D83">
        <v>0.64</v>
      </c>
    </row>
    <row r="84" spans="1:13" x14ac:dyDescent="0.3">
      <c r="A84">
        <v>1664.38</v>
      </c>
      <c r="B84">
        <v>16.09</v>
      </c>
      <c r="C84">
        <v>1475.45</v>
      </c>
      <c r="D84">
        <v>0.71</v>
      </c>
    </row>
    <row r="85" spans="1:13" x14ac:dyDescent="0.3">
      <c r="A85">
        <v>1659.6</v>
      </c>
      <c r="B85">
        <v>28.36</v>
      </c>
      <c r="C85">
        <v>1462.14</v>
      </c>
      <c r="D85">
        <v>0.67</v>
      </c>
    </row>
    <row r="86" spans="1:13" x14ac:dyDescent="0.3">
      <c r="A86">
        <v>1560.07</v>
      </c>
      <c r="B86">
        <v>16.29</v>
      </c>
      <c r="C86">
        <v>1535.75</v>
      </c>
      <c r="D86">
        <v>0.65</v>
      </c>
    </row>
    <row r="87" spans="1:13" x14ac:dyDescent="0.3">
      <c r="A87">
        <v>1870.6</v>
      </c>
      <c r="B87">
        <v>25.37</v>
      </c>
      <c r="C87">
        <v>1770.58</v>
      </c>
      <c r="D87">
        <v>0.68</v>
      </c>
    </row>
    <row r="88" spans="1:13" x14ac:dyDescent="0.3">
      <c r="A88">
        <v>1489.16</v>
      </c>
      <c r="B88">
        <v>17.93</v>
      </c>
      <c r="C88">
        <v>1308.83</v>
      </c>
      <c r="D88">
        <v>0.62</v>
      </c>
    </row>
    <row r="89" spans="1:13" x14ac:dyDescent="0.3">
      <c r="A89">
        <v>1442.93</v>
      </c>
      <c r="B89">
        <v>16.21</v>
      </c>
      <c r="C89">
        <v>1378.14</v>
      </c>
      <c r="D89">
        <v>0.64</v>
      </c>
    </row>
    <row r="90" spans="1:13" x14ac:dyDescent="0.3">
      <c r="A90">
        <v>1465.91</v>
      </c>
      <c r="B90">
        <v>17.71</v>
      </c>
      <c r="C90">
        <v>1381.74</v>
      </c>
      <c r="D90">
        <v>0.64</v>
      </c>
    </row>
    <row r="91" spans="1:13" x14ac:dyDescent="0.3">
      <c r="A91">
        <v>1329.84</v>
      </c>
      <c r="B91">
        <v>18.28</v>
      </c>
      <c r="C91">
        <v>1506.73</v>
      </c>
      <c r="D91">
        <v>0.64</v>
      </c>
    </row>
    <row r="92" spans="1:13" x14ac:dyDescent="0.3">
      <c r="A92">
        <v>1448.27</v>
      </c>
      <c r="B92">
        <v>17.13</v>
      </c>
      <c r="C92">
        <v>1396</v>
      </c>
      <c r="D92">
        <v>0.59</v>
      </c>
    </row>
    <row r="93" spans="1:13" x14ac:dyDescent="0.3">
      <c r="A93">
        <v>1438.54</v>
      </c>
      <c r="B93">
        <v>41.88</v>
      </c>
      <c r="C93">
        <v>1361.47</v>
      </c>
      <c r="D93">
        <v>0.87</v>
      </c>
    </row>
    <row r="94" spans="1:13" x14ac:dyDescent="0.3">
      <c r="A94">
        <v>1472.01</v>
      </c>
      <c r="B94">
        <v>17.760000000000002</v>
      </c>
      <c r="C94">
        <v>1430.54</v>
      </c>
      <c r="D94">
        <v>0.72</v>
      </c>
    </row>
    <row r="95" spans="1:13" x14ac:dyDescent="0.3">
      <c r="A95">
        <v>1467.74</v>
      </c>
      <c r="B95">
        <v>16.559999999999999</v>
      </c>
      <c r="C95">
        <v>1531.66</v>
      </c>
      <c r="D95">
        <v>0.61</v>
      </c>
    </row>
    <row r="96" spans="1:13" x14ac:dyDescent="0.3">
      <c r="A96">
        <v>1591.38</v>
      </c>
      <c r="B96">
        <v>15.61</v>
      </c>
      <c r="C96">
        <v>1423.69</v>
      </c>
      <c r="D96">
        <v>0.66</v>
      </c>
    </row>
    <row r="97" spans="1:4" x14ac:dyDescent="0.3">
      <c r="A97">
        <v>1440.15</v>
      </c>
      <c r="B97">
        <v>21.04</v>
      </c>
      <c r="C97">
        <v>1674.37</v>
      </c>
      <c r="D97">
        <v>0.71</v>
      </c>
    </row>
    <row r="98" spans="1:4" x14ac:dyDescent="0.3">
      <c r="A98">
        <v>1488.27</v>
      </c>
      <c r="B98">
        <v>18.78</v>
      </c>
      <c r="C98">
        <v>1641.86</v>
      </c>
      <c r="D98">
        <v>0.68</v>
      </c>
    </row>
    <row r="99" spans="1:4" x14ac:dyDescent="0.3">
      <c r="A99">
        <v>1600.16</v>
      </c>
      <c r="B99">
        <v>21.46</v>
      </c>
      <c r="C99">
        <v>1534.34</v>
      </c>
      <c r="D99">
        <v>0.63</v>
      </c>
    </row>
    <row r="100" spans="1:4" x14ac:dyDescent="0.3">
      <c r="A100">
        <v>1594.47</v>
      </c>
      <c r="B100">
        <v>19.010000000000002</v>
      </c>
      <c r="C100">
        <v>1617.42</v>
      </c>
      <c r="D100">
        <v>0.67</v>
      </c>
    </row>
    <row r="101" spans="1:4" x14ac:dyDescent="0.3">
      <c r="A101">
        <v>1747</v>
      </c>
      <c r="B101">
        <v>19.440000000000001</v>
      </c>
      <c r="C101">
        <v>1634.38</v>
      </c>
      <c r="D101">
        <v>0.62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182-7F7D-40FC-AE80-74CB7D578E5E}">
  <dimension ref="A1:L4"/>
  <sheetViews>
    <sheetView workbookViewId="0">
      <selection activeCell="I6" sqref="I6"/>
    </sheetView>
  </sheetViews>
  <sheetFormatPr defaultRowHeight="14.4" x14ac:dyDescent="0.3"/>
  <cols>
    <col min="1" max="1" width="12.44140625" customWidth="1"/>
    <col min="2" max="2" width="7" customWidth="1"/>
    <col min="3" max="3" width="8" customWidth="1"/>
    <col min="4" max="4" width="11.44140625" customWidth="1"/>
    <col min="5" max="5" width="13.6640625" customWidth="1"/>
    <col min="6" max="6" width="13.21875" customWidth="1"/>
    <col min="7" max="7" width="10.21875" customWidth="1"/>
    <col min="8" max="8" width="9.3320312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2" x14ac:dyDescent="0.3">
      <c r="A2" s="6">
        <v>20606</v>
      </c>
      <c r="B2" s="6">
        <v>1346</v>
      </c>
      <c r="C2" s="6">
        <v>1230</v>
      </c>
      <c r="D2" s="6">
        <v>2777</v>
      </c>
      <c r="E2" s="7">
        <v>0</v>
      </c>
      <c r="F2" s="8">
        <v>171.27421000000001</v>
      </c>
      <c r="H2" s="4"/>
      <c r="I2" s="4"/>
      <c r="J2" s="4"/>
      <c r="K2" s="4"/>
      <c r="L2" s="4"/>
    </row>
    <row r="3" spans="1:12" x14ac:dyDescent="0.3">
      <c r="H3" s="4"/>
      <c r="I3" s="4"/>
      <c r="J3" s="4"/>
      <c r="K3" s="4"/>
      <c r="L3" s="4"/>
    </row>
    <row r="4" spans="1:12" x14ac:dyDescent="0.3">
      <c r="H4" s="4"/>
      <c r="I4" s="4"/>
      <c r="J4" s="4"/>
      <c r="K4" s="4"/>
      <c r="L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6580-7D00-4B62-84B8-356CA7C3610D}">
  <dimension ref="A1:L4"/>
  <sheetViews>
    <sheetView workbookViewId="0">
      <selection activeCell="I9" sqref="I9"/>
    </sheetView>
  </sheetViews>
  <sheetFormatPr defaultRowHeight="14.4" x14ac:dyDescent="0.3"/>
  <cols>
    <col min="1" max="1" width="13.109375" customWidth="1"/>
    <col min="2" max="2" width="7" customWidth="1"/>
    <col min="3" max="3" width="8" customWidth="1"/>
    <col min="4" max="4" width="11.44140625" customWidth="1"/>
    <col min="5" max="5" width="13.6640625" customWidth="1"/>
    <col min="6" max="6" width="13.21875" customWidth="1"/>
    <col min="7" max="7" width="21.21875" customWidth="1"/>
    <col min="8" max="8" width="10.554687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2" x14ac:dyDescent="0.3">
      <c r="A2" s="6">
        <v>6073</v>
      </c>
      <c r="B2" s="6">
        <v>9426</v>
      </c>
      <c r="C2" s="6">
        <v>1616</v>
      </c>
      <c r="D2" s="6">
        <v>21059</v>
      </c>
      <c r="E2" s="7">
        <v>0.26478000000000002</v>
      </c>
      <c r="F2" s="8">
        <v>27.680540000000001</v>
      </c>
      <c r="H2" s="4"/>
      <c r="I2" s="4"/>
      <c r="J2" s="4"/>
      <c r="K2" s="4"/>
      <c r="L2" s="4"/>
    </row>
    <row r="3" spans="1:12" x14ac:dyDescent="0.3">
      <c r="H3" s="4"/>
      <c r="I3" s="4"/>
      <c r="J3" s="4"/>
      <c r="K3" s="4"/>
      <c r="L3" s="4"/>
    </row>
    <row r="4" spans="1:12" x14ac:dyDescent="0.3">
      <c r="H4" s="4"/>
      <c r="I4" s="4"/>
      <c r="J4" s="4"/>
      <c r="K4" s="4"/>
      <c r="L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4663-5D7E-4CBE-AA43-7974F032F427}">
  <dimension ref="A1:L4"/>
  <sheetViews>
    <sheetView workbookViewId="0">
      <selection activeCell="I5" sqref="I5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7" max="7" width="11.88671875" customWidth="1"/>
    <col min="8" max="8" width="10.554687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2" x14ac:dyDescent="0.3">
      <c r="A2" s="6">
        <v>33934</v>
      </c>
      <c r="B2" s="6">
        <v>991</v>
      </c>
      <c r="C2" s="6">
        <v>1286</v>
      </c>
      <c r="D2" s="6">
        <v>2239</v>
      </c>
      <c r="E2" s="7">
        <v>0.27916000000000002</v>
      </c>
      <c r="F2" s="8">
        <v>281.17827</v>
      </c>
      <c r="H2" s="4"/>
      <c r="I2" s="4"/>
      <c r="J2" s="4"/>
      <c r="K2" s="4"/>
      <c r="L2" s="4"/>
    </row>
    <row r="3" spans="1:12" x14ac:dyDescent="0.3">
      <c r="H3" s="4"/>
      <c r="I3" s="4"/>
      <c r="J3" s="4"/>
      <c r="K3" s="4"/>
      <c r="L3" s="4"/>
    </row>
    <row r="4" spans="1:12" x14ac:dyDescent="0.3">
      <c r="H4" s="4"/>
      <c r="I4" s="4"/>
      <c r="J4" s="4"/>
      <c r="K4" s="4"/>
      <c r="L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86AC-1E49-4640-BE4B-963CCFFDB8AB}">
  <dimension ref="A1:M4"/>
  <sheetViews>
    <sheetView workbookViewId="0">
      <selection activeCell="A2" sqref="A2:C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21149</v>
      </c>
      <c r="B2" s="6">
        <v>1686</v>
      </c>
      <c r="C2" s="6">
        <v>2293</v>
      </c>
      <c r="D2" s="6">
        <v>2624</v>
      </c>
      <c r="E2" s="7">
        <v>0.58706999999999998</v>
      </c>
      <c r="F2" s="8">
        <v>175.80362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0A69-2DB3-458A-A07C-1A5AB3B00358}">
  <dimension ref="A1:M9"/>
  <sheetViews>
    <sheetView workbookViewId="0">
      <selection activeCell="E22" sqref="E2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18343</v>
      </c>
      <c r="B2" s="6">
        <v>1834</v>
      </c>
      <c r="C2" s="6">
        <v>2301</v>
      </c>
      <c r="D2" s="6">
        <v>2612</v>
      </c>
      <c r="E2" s="7">
        <v>0.63048999999999999</v>
      </c>
      <c r="F2" s="8">
        <v>151.8586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  <row r="7" spans="1:13" x14ac:dyDescent="0.3">
      <c r="I7" s="4"/>
      <c r="J7" s="4"/>
      <c r="K7" s="4"/>
      <c r="L7" s="4"/>
      <c r="M7" s="4"/>
    </row>
    <row r="8" spans="1:13" x14ac:dyDescent="0.3">
      <c r="I8" s="4"/>
      <c r="J8" s="4"/>
      <c r="K8" s="4"/>
      <c r="L8" s="4"/>
      <c r="M8" s="4"/>
    </row>
    <row r="9" spans="1:13" x14ac:dyDescent="0.3">
      <c r="I9" s="4"/>
      <c r="J9" s="4"/>
      <c r="K9" s="4"/>
      <c r="L9" s="4"/>
      <c r="M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1012-A573-44FC-83C7-3555E251D177}">
  <dimension ref="A1:M4"/>
  <sheetViews>
    <sheetView workbookViewId="0">
      <selection activeCell="G7" sqref="G7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21477</v>
      </c>
      <c r="B2" s="6">
        <v>1657</v>
      </c>
      <c r="C2" s="6">
        <v>2279</v>
      </c>
      <c r="D2" s="6">
        <v>2326</v>
      </c>
      <c r="E2" s="7">
        <v>0.60855999999999999</v>
      </c>
      <c r="F2" s="8">
        <v>177.71764999999999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CF1A-1471-4EE6-ABF3-8D1E1614CAE8}">
  <dimension ref="A1:M4"/>
  <sheetViews>
    <sheetView workbookViewId="0">
      <selection activeCell="H7" sqref="H7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24468</v>
      </c>
      <c r="B2" s="6">
        <v>1469</v>
      </c>
      <c r="C2" s="6">
        <v>2271</v>
      </c>
      <c r="D2" s="6">
        <v>2326</v>
      </c>
      <c r="E2" s="7">
        <v>0.53383999999999998</v>
      </c>
      <c r="F2" s="8">
        <v>201.27834999999999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D87C-88B2-480C-9D45-4E15B3A4B235}">
  <dimension ref="A1:M4"/>
  <sheetViews>
    <sheetView workbookViewId="0">
      <selection activeCell="I15" sqref="I15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51326</v>
      </c>
      <c r="B2" s="6">
        <v>683</v>
      </c>
      <c r="C2" s="6">
        <v>451</v>
      </c>
      <c r="D2" s="6">
        <v>2120</v>
      </c>
      <c r="E2" s="7">
        <v>2.3400000000000001E-3</v>
      </c>
      <c r="F2" s="8">
        <v>426.82744000000002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C53-2F6C-4039-B22C-0C643A29DB72}">
  <dimension ref="A1:M4"/>
  <sheetViews>
    <sheetView workbookViewId="0">
      <selection activeCell="F2" sqref="F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49458</v>
      </c>
      <c r="B2" s="6">
        <v>622</v>
      </c>
      <c r="C2" s="6">
        <v>407</v>
      </c>
      <c r="D2" s="6">
        <v>1783</v>
      </c>
      <c r="E2" s="7">
        <v>0</v>
      </c>
      <c r="F2" s="8">
        <v>411.47107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558-7FAF-48BC-B7B6-16B42AFF0DE3}">
  <dimension ref="A1:M4"/>
  <sheetViews>
    <sheetView workbookViewId="0">
      <selection activeCell="H4" sqref="H4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97507</v>
      </c>
      <c r="B2" s="6">
        <v>364</v>
      </c>
      <c r="C2" s="6">
        <v>258</v>
      </c>
      <c r="D2" s="6">
        <v>677</v>
      </c>
      <c r="E2" s="7">
        <v>0</v>
      </c>
      <c r="F2" s="8">
        <v>810.63307999999995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D85-9637-4C77-B561-7462EAD1A346}">
  <dimension ref="A1:M4"/>
  <sheetViews>
    <sheetView workbookViewId="0">
      <selection activeCell="G7" sqref="G7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43762</v>
      </c>
      <c r="B2" s="6">
        <v>813</v>
      </c>
      <c r="C2" s="6">
        <v>885</v>
      </c>
      <c r="D2" s="6">
        <v>1311</v>
      </c>
      <c r="E2" s="7">
        <v>0</v>
      </c>
      <c r="F2" s="8">
        <v>364.32810999999998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CC78-CE26-410B-911E-2AD45E9AEE86}">
  <dimension ref="A1:M4"/>
  <sheetViews>
    <sheetView workbookViewId="0">
      <selection activeCell="H7" sqref="H7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5068</v>
      </c>
      <c r="B2" s="6">
        <v>8382</v>
      </c>
      <c r="C2" s="6">
        <v>195</v>
      </c>
      <c r="D2" s="6">
        <v>21053</v>
      </c>
      <c r="E2" s="7">
        <v>0.39462999999999998</v>
      </c>
      <c r="F2" s="8">
        <v>42.167270000000002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ECF5-BA03-4AAF-B3CD-14AD8AA418D5}">
  <dimension ref="A1:M4"/>
  <sheetViews>
    <sheetView workbookViewId="0">
      <selection activeCell="H5" sqref="H5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40798</v>
      </c>
      <c r="B2" s="6">
        <v>873</v>
      </c>
      <c r="C2" s="6">
        <v>646</v>
      </c>
      <c r="D2" s="6">
        <v>1888</v>
      </c>
      <c r="E2" s="7">
        <v>0</v>
      </c>
      <c r="F2" s="8">
        <v>339.74833999999998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2BD-7AC2-4C27-8AD0-BE238B947108}">
  <dimension ref="A1:I15"/>
  <sheetViews>
    <sheetView tabSelected="1" zoomScaleNormal="100" workbookViewId="0">
      <selection activeCell="K20" sqref="K20"/>
    </sheetView>
  </sheetViews>
  <sheetFormatPr defaultRowHeight="14.4" x14ac:dyDescent="0.3"/>
  <cols>
    <col min="1" max="1" width="12.6640625" customWidth="1"/>
    <col min="4" max="4" width="10" customWidth="1"/>
    <col min="5" max="5" width="9.44140625" customWidth="1"/>
    <col min="7" max="7" width="11.109375" customWidth="1"/>
  </cols>
  <sheetData>
    <row r="1" spans="1:9" ht="15" thickBot="1" x14ac:dyDescent="0.35">
      <c r="A1" s="12" t="s">
        <v>26</v>
      </c>
      <c r="B1" s="12"/>
      <c r="C1" s="12"/>
      <c r="D1" s="12"/>
      <c r="E1" s="12"/>
      <c r="F1" s="12"/>
      <c r="G1" s="12"/>
    </row>
    <row r="2" spans="1:9" ht="21" thickBot="1" x14ac:dyDescent="0.35">
      <c r="A2" s="1" t="s">
        <v>0</v>
      </c>
      <c r="B2" s="2" t="s">
        <v>22</v>
      </c>
      <c r="C2" s="2" t="s">
        <v>16</v>
      </c>
      <c r="D2" s="2" t="s">
        <v>14</v>
      </c>
      <c r="E2" s="1" t="s">
        <v>23</v>
      </c>
      <c r="F2" s="2" t="s">
        <v>24</v>
      </c>
      <c r="G2" s="2" t="s">
        <v>25</v>
      </c>
    </row>
    <row r="3" spans="1:9" ht="15" thickBot="1" x14ac:dyDescent="0.35">
      <c r="A3" s="3" t="s">
        <v>1</v>
      </c>
      <c r="B3" s="9" cm="1">
        <f t="array" aca="1" ref="B3" ca="1">INDIRECT("'" &amp; $A3 &amp; "'!A2")</f>
        <v>20606</v>
      </c>
      <c r="C3" s="9" cm="1">
        <f t="array" aca="1" ref="C3" ca="1">INDIRECT("'" &amp; $A3 &amp; "'!B2")</f>
        <v>1346</v>
      </c>
      <c r="D3" s="9" cm="1">
        <f t="array" aca="1" ref="D3" ca="1">INDIRECT("'" &amp; $A3 &amp; "'!C2")</f>
        <v>1230</v>
      </c>
      <c r="E3" s="9" cm="1">
        <f t="array" aca="1" ref="E3" ca="1">INDIRECT("'" &amp; $A3 &amp; "'!D2")</f>
        <v>2777</v>
      </c>
      <c r="F3" s="10" cm="1">
        <f t="array" aca="1" ref="F3" ca="1">INDIRECT("'" &amp; $A3 &amp; "'!E2")</f>
        <v>0</v>
      </c>
      <c r="G3" s="5" cm="1">
        <f t="array" aca="1" ref="G3" ca="1">INDIRECT("'" &amp; $A3 &amp; "'!F2")</f>
        <v>171.27421000000001</v>
      </c>
      <c r="I3" s="11">
        <f ca="1">C3-D3</f>
        <v>116</v>
      </c>
    </row>
    <row r="4" spans="1:9" ht="15" thickBot="1" x14ac:dyDescent="0.35">
      <c r="A4" s="3" t="s">
        <v>2</v>
      </c>
      <c r="B4" s="9" cm="1">
        <f t="array" aca="1" ref="B4" ca="1">INDIRECT("'" &amp; $A4 &amp; "'!A2")</f>
        <v>6073</v>
      </c>
      <c r="C4" s="9" cm="1">
        <f t="array" aca="1" ref="C4" ca="1">INDIRECT("'" &amp; $A4 &amp; "'!B2")</f>
        <v>9426</v>
      </c>
      <c r="D4" s="9" cm="1">
        <f t="array" aca="1" ref="D4" ca="1">INDIRECT("'" &amp; $A4 &amp; "'!C2")</f>
        <v>1616</v>
      </c>
      <c r="E4" s="9" cm="1">
        <f t="array" aca="1" ref="E4" ca="1">INDIRECT("'" &amp; $A4 &amp; "'!D2")</f>
        <v>21059</v>
      </c>
      <c r="F4" s="10" cm="1">
        <f t="array" aca="1" ref="F4" ca="1">INDIRECT("'" &amp; $A4 &amp; "'!E2")</f>
        <v>0.26478000000000002</v>
      </c>
      <c r="G4" s="5" cm="1">
        <f t="array" aca="1" ref="G4" ca="1">INDIRECT("'" &amp; $A4 &amp; "'!F2")</f>
        <v>27.680540000000001</v>
      </c>
      <c r="I4" s="11">
        <f t="shared" ref="I4:I15" ca="1" si="0">C4-D4</f>
        <v>7810</v>
      </c>
    </row>
    <row r="5" spans="1:9" ht="15" thickBot="1" x14ac:dyDescent="0.35">
      <c r="A5" s="3" t="s">
        <v>3</v>
      </c>
      <c r="B5" s="9" cm="1">
        <f t="array" aca="1" ref="B5" ca="1">INDIRECT("'" &amp; $A5 &amp; "'!A2")</f>
        <v>33934</v>
      </c>
      <c r="C5" s="9" cm="1">
        <f t="array" aca="1" ref="C5" ca="1">INDIRECT("'" &amp; $A5 &amp; "'!B2")</f>
        <v>991</v>
      </c>
      <c r="D5" s="9" cm="1">
        <f t="array" aca="1" ref="D5" ca="1">INDIRECT("'" &amp; $A5 &amp; "'!C2")</f>
        <v>1286</v>
      </c>
      <c r="E5" s="9" cm="1">
        <f t="array" aca="1" ref="E5" ca="1">INDIRECT("'" &amp; $A5 &amp; "'!D2")</f>
        <v>2239</v>
      </c>
      <c r="F5" s="10" cm="1">
        <f t="array" aca="1" ref="F5" ca="1">INDIRECT("'" &amp; $A5 &amp; "'!E2")</f>
        <v>0.27916000000000002</v>
      </c>
      <c r="G5" s="5" cm="1">
        <f t="array" aca="1" ref="G5" ca="1">INDIRECT("'" &amp; $A5 &amp; "'!F2")</f>
        <v>281.17827</v>
      </c>
      <c r="I5" s="11">
        <f t="shared" ca="1" si="0"/>
        <v>-295</v>
      </c>
    </row>
    <row r="6" spans="1:9" ht="15" thickBot="1" x14ac:dyDescent="0.35">
      <c r="A6" s="3" t="s">
        <v>4</v>
      </c>
      <c r="B6" s="9" cm="1">
        <f t="array" aca="1" ref="B6" ca="1">INDIRECT("'" &amp; $A6 &amp; "'!A2")</f>
        <v>21149</v>
      </c>
      <c r="C6" s="9" cm="1">
        <f t="array" aca="1" ref="C6" ca="1">INDIRECT("'" &amp; $A6 &amp; "'!B2")</f>
        <v>1686</v>
      </c>
      <c r="D6" s="9" cm="1">
        <f t="array" aca="1" ref="D6" ca="1">INDIRECT("'" &amp; $A6 &amp; "'!C2")</f>
        <v>2293</v>
      </c>
      <c r="E6" s="9" cm="1">
        <f t="array" aca="1" ref="E6" ca="1">INDIRECT("'" &amp; $A6 &amp; "'!D2")</f>
        <v>2624</v>
      </c>
      <c r="F6" s="10" cm="1">
        <f t="array" aca="1" ref="F6" ca="1">INDIRECT("'" &amp; $A6 &amp; "'!E2")</f>
        <v>0.58706999999999998</v>
      </c>
      <c r="G6" s="5" cm="1">
        <f t="array" aca="1" ref="G6" ca="1">INDIRECT("'" &amp; $A6 &amp; "'!F2")</f>
        <v>175.80362</v>
      </c>
      <c r="I6" s="11">
        <f t="shared" ca="1" si="0"/>
        <v>-607</v>
      </c>
    </row>
    <row r="7" spans="1:9" ht="15" thickBot="1" x14ac:dyDescent="0.35">
      <c r="A7" s="3" t="s">
        <v>5</v>
      </c>
      <c r="B7" s="9" cm="1">
        <f t="array" aca="1" ref="B7" ca="1">INDIRECT("'" &amp; $A7 &amp; "'!A2")</f>
        <v>18343</v>
      </c>
      <c r="C7" s="9" cm="1">
        <f t="array" aca="1" ref="C7" ca="1">INDIRECT("'" &amp; $A7 &amp; "'!B2")</f>
        <v>1834</v>
      </c>
      <c r="D7" s="9" cm="1">
        <f t="array" aca="1" ref="D7" ca="1">INDIRECT("'" &amp; $A7 &amp; "'!C2")</f>
        <v>2301</v>
      </c>
      <c r="E7" s="9" cm="1">
        <f t="array" aca="1" ref="E7" ca="1">INDIRECT("'" &amp; $A7 &amp; "'!D2")</f>
        <v>2612</v>
      </c>
      <c r="F7" s="10" cm="1">
        <f t="array" aca="1" ref="F7" ca="1">INDIRECT("'" &amp; $A7 &amp; "'!E2")</f>
        <v>0.63048999999999999</v>
      </c>
      <c r="G7" s="5" cm="1">
        <f t="array" aca="1" ref="G7" ca="1">INDIRECT("'" &amp; $A7 &amp; "'!F2")</f>
        <v>151.8586</v>
      </c>
      <c r="I7" s="11">
        <f t="shared" ca="1" si="0"/>
        <v>-467</v>
      </c>
    </row>
    <row r="8" spans="1:9" ht="15" thickBot="1" x14ac:dyDescent="0.35">
      <c r="A8" s="3" t="s">
        <v>6</v>
      </c>
      <c r="B8" s="9" cm="1">
        <f t="array" aca="1" ref="B8" ca="1">INDIRECT("'" &amp; $A8 &amp; "'!A2")</f>
        <v>21477</v>
      </c>
      <c r="C8" s="9" cm="1">
        <f t="array" aca="1" ref="C8" ca="1">INDIRECT("'" &amp; $A8 &amp; "'!B2")</f>
        <v>1657</v>
      </c>
      <c r="D8" s="9" cm="1">
        <f t="array" aca="1" ref="D8" ca="1">INDIRECT("'" &amp; $A8 &amp; "'!C2")</f>
        <v>2279</v>
      </c>
      <c r="E8" s="9" cm="1">
        <f t="array" aca="1" ref="E8" ca="1">INDIRECT("'" &amp; $A8 &amp; "'!D2")</f>
        <v>2326</v>
      </c>
      <c r="F8" s="10" cm="1">
        <f t="array" aca="1" ref="F8" ca="1">INDIRECT("'" &amp; $A8 &amp; "'!E2")</f>
        <v>0.60855999999999999</v>
      </c>
      <c r="G8" s="5" cm="1">
        <f t="array" aca="1" ref="G8" ca="1">INDIRECT("'" &amp; $A8 &amp; "'!F2")</f>
        <v>177.71764999999999</v>
      </c>
      <c r="I8" s="11">
        <f t="shared" ca="1" si="0"/>
        <v>-622</v>
      </c>
    </row>
    <row r="9" spans="1:9" ht="15" thickBot="1" x14ac:dyDescent="0.35">
      <c r="A9" s="3" t="s">
        <v>7</v>
      </c>
      <c r="B9" s="9" cm="1">
        <f t="array" aca="1" ref="B9" ca="1">INDIRECT("'" &amp; $A9 &amp; "'!A2")</f>
        <v>24468</v>
      </c>
      <c r="C9" s="9" cm="1">
        <f t="array" aca="1" ref="C9" ca="1">INDIRECT("'" &amp; $A9 &amp; "'!B2")</f>
        <v>1469</v>
      </c>
      <c r="D9" s="9" cm="1">
        <f t="array" aca="1" ref="D9" ca="1">INDIRECT("'" &amp; $A9 &amp; "'!C2")</f>
        <v>2271</v>
      </c>
      <c r="E9" s="9" cm="1">
        <f t="array" aca="1" ref="E9" ca="1">INDIRECT("'" &amp; $A9 &amp; "'!D2")</f>
        <v>2326</v>
      </c>
      <c r="F9" s="10" cm="1">
        <f t="array" aca="1" ref="F9" ca="1">INDIRECT("'" &amp; $A9 &amp; "'!E2")</f>
        <v>0.53383999999999998</v>
      </c>
      <c r="G9" s="5" cm="1">
        <f t="array" aca="1" ref="G9" ca="1">INDIRECT("'" &amp; $A9 &amp; "'!F2")</f>
        <v>201.27834999999999</v>
      </c>
      <c r="I9" s="11">
        <f t="shared" ca="1" si="0"/>
        <v>-802</v>
      </c>
    </row>
    <row r="10" spans="1:9" ht="15" thickBot="1" x14ac:dyDescent="0.35">
      <c r="A10" s="3" t="s">
        <v>8</v>
      </c>
      <c r="B10" s="9" cm="1">
        <f t="array" aca="1" ref="B10" ca="1">INDIRECT("'" &amp; $A10 &amp; "'!A2")</f>
        <v>51326</v>
      </c>
      <c r="C10" s="9" cm="1">
        <f t="array" aca="1" ref="C10" ca="1">INDIRECT("'" &amp; $A10 &amp; "'!B2")</f>
        <v>683</v>
      </c>
      <c r="D10" s="9" cm="1">
        <f t="array" aca="1" ref="D10" ca="1">INDIRECT("'" &amp; $A10 &amp; "'!C2")</f>
        <v>451</v>
      </c>
      <c r="E10" s="9" cm="1">
        <f t="array" aca="1" ref="E10" ca="1">INDIRECT("'" &amp; $A10 &amp; "'!D2")</f>
        <v>2120</v>
      </c>
      <c r="F10" s="10" cm="1">
        <f t="array" aca="1" ref="F10" ca="1">INDIRECT("'" &amp; $A10 &amp; "'!E2")</f>
        <v>2.3400000000000001E-3</v>
      </c>
      <c r="G10" s="5" cm="1">
        <f t="array" aca="1" ref="G10" ca="1">INDIRECT("'" &amp; $A10 &amp; "'!F2")</f>
        <v>426.82744000000002</v>
      </c>
      <c r="I10" s="11">
        <f t="shared" ca="1" si="0"/>
        <v>232</v>
      </c>
    </row>
    <row r="11" spans="1:9" ht="15" thickBot="1" x14ac:dyDescent="0.35">
      <c r="A11" s="3" t="s">
        <v>9</v>
      </c>
      <c r="B11" s="9" cm="1">
        <f t="array" aca="1" ref="B11" ca="1">INDIRECT("'" &amp; $A11 &amp; "'!A2")</f>
        <v>49458</v>
      </c>
      <c r="C11" s="9" cm="1">
        <f t="array" aca="1" ref="C11" ca="1">INDIRECT("'" &amp; $A11 &amp; "'!B2")</f>
        <v>622</v>
      </c>
      <c r="D11" s="9" cm="1">
        <f t="array" aca="1" ref="D11" ca="1">INDIRECT("'" &amp; $A11 &amp; "'!C2")</f>
        <v>407</v>
      </c>
      <c r="E11" s="9" cm="1">
        <f t="array" aca="1" ref="E11" ca="1">INDIRECT("'" &amp; $A11 &amp; "'!D2")</f>
        <v>1783</v>
      </c>
      <c r="F11" s="10" cm="1">
        <f t="array" aca="1" ref="F11" ca="1">INDIRECT("'" &amp; $A11 &amp; "'!E2")</f>
        <v>0</v>
      </c>
      <c r="G11" s="5" cm="1">
        <f t="array" aca="1" ref="G11" ca="1">INDIRECT("'" &amp; $A11 &amp; "'!F2")</f>
        <v>411.47107</v>
      </c>
      <c r="I11" s="11">
        <f t="shared" ca="1" si="0"/>
        <v>215</v>
      </c>
    </row>
    <row r="12" spans="1:9" ht="15" thickBot="1" x14ac:dyDescent="0.35">
      <c r="A12" s="3" t="s">
        <v>10</v>
      </c>
      <c r="B12" s="9" cm="1">
        <f t="array" aca="1" ref="B12" ca="1">INDIRECT("'" &amp; $A12 &amp; "'!A2")</f>
        <v>97507</v>
      </c>
      <c r="C12" s="9" cm="1">
        <f t="array" aca="1" ref="C12" ca="1">INDIRECT("'" &amp; $A12 &amp; "'!B2")</f>
        <v>364</v>
      </c>
      <c r="D12" s="9" cm="1">
        <f t="array" aca="1" ref="D12" ca="1">INDIRECT("'" &amp; $A12 &amp; "'!C2")</f>
        <v>258</v>
      </c>
      <c r="E12" s="9" cm="1">
        <f t="array" aca="1" ref="E12" ca="1">INDIRECT("'" &amp; $A12 &amp; "'!D2")</f>
        <v>677</v>
      </c>
      <c r="F12" s="10" cm="1">
        <f t="array" aca="1" ref="F12" ca="1">INDIRECT("'" &amp; $A12 &amp; "'!E2")</f>
        <v>0</v>
      </c>
      <c r="G12" s="5" cm="1">
        <f t="array" aca="1" ref="G12" ca="1">INDIRECT("'" &amp; $A12 &amp; "'!F2")</f>
        <v>810.63307999999995</v>
      </c>
      <c r="I12" s="11">
        <f t="shared" ca="1" si="0"/>
        <v>106</v>
      </c>
    </row>
    <row r="13" spans="1:9" ht="15" thickBot="1" x14ac:dyDescent="0.35">
      <c r="A13" s="3" t="s">
        <v>11</v>
      </c>
      <c r="B13" s="9" cm="1">
        <f t="array" aca="1" ref="B13" ca="1">INDIRECT("'" &amp; $A13 &amp; "'!A2")</f>
        <v>43762</v>
      </c>
      <c r="C13" s="9" cm="1">
        <f t="array" aca="1" ref="C13" ca="1">INDIRECT("'" &amp; $A13 &amp; "'!B2")</f>
        <v>813</v>
      </c>
      <c r="D13" s="9" cm="1">
        <f t="array" aca="1" ref="D13" ca="1">INDIRECT("'" &amp; $A13 &amp; "'!C2")</f>
        <v>885</v>
      </c>
      <c r="E13" s="9" cm="1">
        <f t="array" aca="1" ref="E13" ca="1">INDIRECT("'" &amp; $A13 &amp; "'!D2")</f>
        <v>1311</v>
      </c>
      <c r="F13" s="10" cm="1">
        <f t="array" aca="1" ref="F13" ca="1">INDIRECT("'" &amp; $A13 &amp; "'!E2")</f>
        <v>0</v>
      </c>
      <c r="G13" s="5" cm="1">
        <f t="array" aca="1" ref="G13" ca="1">INDIRECT("'" &amp; $A13 &amp; "'!F2")</f>
        <v>364.32810999999998</v>
      </c>
      <c r="I13" s="11">
        <f t="shared" ca="1" si="0"/>
        <v>-72</v>
      </c>
    </row>
    <row r="14" spans="1:9" ht="15" thickBot="1" x14ac:dyDescent="0.35">
      <c r="A14" s="3" t="s">
        <v>12</v>
      </c>
      <c r="B14" s="9" cm="1">
        <f t="array" aca="1" ref="B14" ca="1">INDIRECT("'" &amp; $A14 &amp; "'!A2")</f>
        <v>5068</v>
      </c>
      <c r="C14" s="9" cm="1">
        <f t="array" aca="1" ref="C14" ca="1">INDIRECT("'" &amp; $A14 &amp; "'!B2")</f>
        <v>8382</v>
      </c>
      <c r="D14" s="9" cm="1">
        <f t="array" aca="1" ref="D14" ca="1">INDIRECT("'" &amp; $A14 &amp; "'!C2")</f>
        <v>195</v>
      </c>
      <c r="E14" s="9" cm="1">
        <f t="array" aca="1" ref="E14" ca="1">INDIRECT("'" &amp; $A14 &amp; "'!D2")</f>
        <v>21053</v>
      </c>
      <c r="F14" s="10" cm="1">
        <f t="array" aca="1" ref="F14" ca="1">INDIRECT("'" &amp; $A14 &amp; "'!E2")</f>
        <v>0.39462999999999998</v>
      </c>
      <c r="G14" s="5" cm="1">
        <f t="array" aca="1" ref="G14" ca="1">INDIRECT("'" &amp; $A14 &amp; "'!F2")</f>
        <v>42.167270000000002</v>
      </c>
      <c r="I14" s="11">
        <f t="shared" ca="1" si="0"/>
        <v>8187</v>
      </c>
    </row>
    <row r="15" spans="1:9" ht="15" thickBot="1" x14ac:dyDescent="0.35">
      <c r="A15" s="3" t="s">
        <v>13</v>
      </c>
      <c r="B15" s="9" cm="1">
        <f t="array" aca="1" ref="B15" ca="1">INDIRECT("'" &amp; $A15 &amp; "'!A2")</f>
        <v>40798</v>
      </c>
      <c r="C15" s="9" cm="1">
        <f t="array" aca="1" ref="C15" ca="1">INDIRECT("'" &amp; $A15 &amp; "'!B2")</f>
        <v>873</v>
      </c>
      <c r="D15" s="9" cm="1">
        <f t="array" aca="1" ref="D15" ca="1">INDIRECT("'" &amp; $A15 &amp; "'!C2")</f>
        <v>646</v>
      </c>
      <c r="E15" s="9" cm="1">
        <f t="array" aca="1" ref="E15" ca="1">INDIRECT("'" &amp; $A15 &amp; "'!D2")</f>
        <v>1888</v>
      </c>
      <c r="F15" s="10" cm="1">
        <f t="array" aca="1" ref="F15" ca="1">INDIRECT("'" &amp; $A15 &amp; "'!E2")</f>
        <v>0</v>
      </c>
      <c r="G15" s="5" cm="1">
        <f t="array" aca="1" ref="G15" ca="1">INDIRECT("'" &amp; $A15 &amp; "'!F2")</f>
        <v>339.74833999999998</v>
      </c>
      <c r="I15" s="11">
        <f t="shared" ca="1" si="0"/>
        <v>227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infinityfree</vt:lpstr>
      <vt:lpstr>aeonfree</vt:lpstr>
      <vt:lpstr>tinkerhost</vt:lpstr>
      <vt:lpstr>x10hosting</vt:lpstr>
      <vt:lpstr>googiehost</vt:lpstr>
      <vt:lpstr>freehosting.it</vt:lpstr>
      <vt:lpstr>atspace</vt:lpstr>
      <vt:lpstr>awardspace</vt:lpstr>
      <vt:lpstr>freehostingeu</vt:lpstr>
      <vt:lpstr>freehostingnoads</vt:lpstr>
      <vt:lpstr>hidencloud</vt:lpstr>
      <vt:lpstr>replit</vt:lpstr>
      <vt:lpstr>vercel</vt:lpstr>
      <vt:lpstr>render</vt:lpstr>
      <vt:lpstr>alwaysdata</vt:lpstr>
      <vt:lpstr>leapcell</vt:lpstr>
      <vt:lpstr>zbiorcza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Rafcio</dc:creator>
  <cp:lastModifiedBy>Rafał Wronowski</cp:lastModifiedBy>
  <dcterms:created xsi:type="dcterms:W3CDTF">2015-06-05T18:17:20Z</dcterms:created>
  <dcterms:modified xsi:type="dcterms:W3CDTF">2026-06-01T19:11:35Z</dcterms:modified>
</cp:coreProperties>
</file>